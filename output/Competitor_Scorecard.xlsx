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laude_Projects\competitor-scorecard\output\"/>
    </mc:Choice>
  </mc:AlternateContent>
  <xr:revisionPtr revIDLastSave="0" documentId="13_ncr:1_{95BAD9AA-3C56-449B-BF58-FCA316848457}" xr6:coauthVersionLast="47" xr6:coauthVersionMax="47" xr10:uidLastSave="{00000000-0000-0000-0000-000000000000}"/>
  <bookViews>
    <workbookView xWindow="-108" yWindow="-108" windowWidth="23256" windowHeight="12456" xr2:uid="{00000000-000D-0000-FFFF-FFFF00000000}"/>
  </bookViews>
  <sheets>
    <sheet name="Cover" sheetId="1" r:id="rId1"/>
    <sheet name="Executive Summary" sheetId="2" r:id="rId2"/>
    <sheet name="Raw Data" sheetId="3" r:id="rId3"/>
    <sheet name="Ratio Calculations" sheetId="4" r:id="rId4"/>
    <sheet name="Scorecard" sheetId="5" r:id="rId5"/>
    <sheet name="Trend" sheetId="6" r:id="rId6"/>
    <sheet name="Methodology &amp; Tools" sheetId="7" r:id="rId7"/>
    <sheet name="Data Lineage" sheetId="8" r:id="rId8"/>
  </sheets>
  <definedNames>
    <definedName name="_xlnm._FilterDatabase" localSheetId="7" hidden="1">'Data Lineage'!$A$4:$Q$662</definedName>
    <definedName name="Costco_COGS">'Raw Data'!$C$29:$M$29</definedName>
    <definedName name="Costco_CurrentAssets">'Raw Data'!$C$31:$M$31</definedName>
    <definedName name="Costco_CurrentLiabilities">'Raw Data'!$C$32:$M$32</definedName>
    <definedName name="Costco_Inventory">'Raw Data'!$C$43:$M$43</definedName>
    <definedName name="Costco_LIFOReserve">'Raw Data'!$C$44:$M$44</definedName>
    <definedName name="Costco_MembershipFeeRevenueIncluded_FY2025">'Raw Data'!$D$110</definedName>
    <definedName name="Costco_MembershipFees">'Raw Data'!$C$46:$M$46</definedName>
    <definedName name="Costco_NetIncome">'Raw Data'!$C$30:$M$30</definedName>
    <definedName name="Costco_OperatingIncome">'Raw Data'!$C$40:$M$40</definedName>
    <definedName name="Costco_OperatingLease">'Raw Data'!$C$41:$M$41</definedName>
    <definedName name="Costco_Revenue">'Raw Data'!$C$28:$M$28</definedName>
    <definedName name="Costco_TotalAssets">'Raw Data'!$C$42:$M$42</definedName>
    <definedName name="Costco_TotalDebt">'Raw Data'!$C$34:$M$34</definedName>
    <definedName name="Costco_TotalEquity">'Raw Data'!$C$33:$M$33</definedName>
    <definedName name="Costco_TotalRevenue">'Raw Data'!$C$45:$M$45</definedName>
    <definedName name="CR_Costco">'Ratio Calculations'!$B$29:$K$29</definedName>
    <definedName name="CR_Kroger">'Ratio Calculations'!$B$30:$K$30</definedName>
    <definedName name="CR_SamsClub">'Ratio Calculations'!$B$31:$K$31</definedName>
    <definedName name="CR_Walmart">'Ratio Calculations'!$B$28:$K$28</definedName>
    <definedName name="CR_WholeFoods">'Ratio Calculations'!$B$32:$K$32</definedName>
    <definedName name="DE_Costco">'Ratio Calculations'!$B$36:$K$36</definedName>
    <definedName name="DE_Kroger">'Ratio Calculations'!$B$37:$K$37</definedName>
    <definedName name="DE_SamsClub">'Ratio Calculations'!$B$38:$K$38</definedName>
    <definedName name="DE_Walmart">'Ratio Calculations'!$B$35:$K$35</definedName>
    <definedName name="DE_WholeFoods">'Ratio Calculations'!$B$39:$K$39</definedName>
    <definedName name="DEL_Costco">'Ratio Calculations'!$B$43:$K$43</definedName>
    <definedName name="DEL_Kroger">'Ratio Calculations'!$B$44:$K$44</definedName>
    <definedName name="DEL_SamsClub">'Ratio Calculations'!$B$45:$K$45</definedName>
    <definedName name="DEL_Walmart">'Ratio Calculations'!$B$42:$K$42</definedName>
    <definedName name="DEL_WholeFoods">'Ratio Calculations'!$B$46:$K$46</definedName>
    <definedName name="GM_Costco">'Ratio Calculations'!$B$8:$K$8</definedName>
    <definedName name="GM_Kroger">'Ratio Calculations'!$B$9:$K$9</definedName>
    <definedName name="GM_SamsClub">'Ratio Calculations'!$B$10:$K$10</definedName>
    <definedName name="GM_Walmart">'Ratio Calculations'!$B$7:$K$7</definedName>
    <definedName name="GM_WholeFoods">'Ratio Calculations'!$B$11:$K$11</definedName>
    <definedName name="GR_Costco">'Ratio Calculations'!$B$50:$K$50</definedName>
    <definedName name="GR_Kroger">'Ratio Calculations'!$B$51:$K$51</definedName>
    <definedName name="GR_SamsClub">'Ratio Calculations'!$B$52:$K$52</definedName>
    <definedName name="GR_Walmart">'Ratio Calculations'!$B$49:$K$49</definedName>
    <definedName name="GR_WholeFoods">'Ratio Calculations'!$B$53:$K$53</definedName>
    <definedName name="Kroger_COGS">'Raw Data'!$C$51:$M$51</definedName>
    <definedName name="Kroger_CurrentAssets">'Raw Data'!$C$53:$M$53</definedName>
    <definedName name="Kroger_CurrentLiabilities">'Raw Data'!$C$54:$M$54</definedName>
    <definedName name="Kroger_LIFOReserve">'Raw Data'!$C$67:$M$67</definedName>
    <definedName name="Kroger_LifoReserve_FY2016">'Raw Data'!$D$108</definedName>
    <definedName name="Kroger_LifoReserve_FY2025">'Raw Data'!$D$107</definedName>
    <definedName name="Kroger_NetIncome">'Raw Data'!$C$52:$M$52</definedName>
    <definedName name="Kroger_OperatingIncome">'Raw Data'!$C$64:$M$64</definedName>
    <definedName name="Kroger_OperatingLease">'Raw Data'!$C$65:$M$65</definedName>
    <definedName name="Kroger_ProceedsFromIssuanceOf_FY2024">'Raw Data'!$D$103</definedName>
    <definedName name="Kroger_RestructuringAndAssetImpairment_FY2025">'Raw Data'!$D$106</definedName>
    <definedName name="Kroger_Revenue">'Raw Data'!$C$50:$M$50</definedName>
    <definedName name="Kroger_ShareRepurchases_FY2024">'Raw Data'!$D$104</definedName>
    <definedName name="Kroger_ShareRepurchases_FY2025">'Raw Data'!$D$105</definedName>
    <definedName name="Kroger_TotalAssets">'Raw Data'!$C$66:$M$66</definedName>
    <definedName name="Kroger_TotalDebt">'Raw Data'!$C$56:$M$56</definedName>
    <definedName name="Kroger_TotalEquity">'Raw Data'!$C$55:$M$55</definedName>
    <definedName name="NM_Costco">'Ratio Calculations'!$B$22:$K$22</definedName>
    <definedName name="NM_Kroger">'Ratio Calculations'!$B$23:$K$23</definedName>
    <definedName name="NM_SamsClub">'Ratio Calculations'!$B$24:$K$24</definedName>
    <definedName name="NM_Walmart">'Ratio Calculations'!$B$21:$K$21</definedName>
    <definedName name="NM_WholeFoods">'Ratio Calculations'!$B$25:$K$25</definedName>
    <definedName name="OM_Costco">'Ratio Calculations'!$B$15:$K$15</definedName>
    <definedName name="OM_Kroger">'Ratio Calculations'!$B$16:$K$16</definedName>
    <definedName name="OM_SamsClub">'Ratio Calculations'!$B$17:$K$17</definedName>
    <definedName name="OM_Walmart">'Ratio Calculations'!$B$14:$K$14</definedName>
    <definedName name="OM_WholeFoods">'Ratio Calculations'!$B$18:$K$18</definedName>
    <definedName name="_xlnm.Print_Titles" localSheetId="7">'Data Lineage'!$4:$4</definedName>
    <definedName name="_xlnm.Print_Titles" localSheetId="3">'Ratio Calculations'!$4:$4</definedName>
    <definedName name="_xlnm.Print_Titles" localSheetId="2">'Raw Data'!$4:$4</definedName>
    <definedName name="RatioYears">'Ratio Calculations'!$B$4:$K$4</definedName>
    <definedName name="SamsClub_COGS">'Raw Data'!$C$72:$M$72</definedName>
    <definedName name="SamsClub_CurrentAssets">'Raw Data'!$C$74:$M$74</definedName>
    <definedName name="SamsClub_CurrentLiabilities">'Raw Data'!$C$75:$M$75</definedName>
    <definedName name="SamsClub_NetIncome">'Raw Data'!$C$73:$M$73</definedName>
    <definedName name="SamsClub_OperatingIncome">'Raw Data'!$C$78:$M$78</definedName>
    <definedName name="SamsClub_Revenue">'Raw Data'!$C$71:$M$71</definedName>
    <definedName name="SamsClub_TotalAssets">'Raw Data'!$C$79:$M$79</definedName>
    <definedName name="SamsClub_TotalDebt">'Raw Data'!$C$77:$M$77</definedName>
    <definedName name="SamsClub_TotalEquity">'Raw Data'!$C$76:$M$76</definedName>
    <definedName name="ScorecardYear">Scorecard!$B$3</definedName>
    <definedName name="Walmart_COGS">'Raw Data'!$C$9:$M$9</definedName>
    <definedName name="Walmart_CurrentAssets">'Raw Data'!$C$11:$M$11</definedName>
    <definedName name="Walmart_CurrentLiabilities">'Raw Data'!$C$12:$M$12</definedName>
    <definedName name="Walmart_Inventory">'Raw Data'!$C$24:$M$24</definedName>
    <definedName name="Walmart_NetIncome">'Raw Data'!$C$10:$M$10</definedName>
    <definedName name="Walmart_NoncontrollingInterestInTotal_FY2025">'Raw Data'!$D$109</definedName>
    <definedName name="Walmart_OperatingIncome">'Raw Data'!$C$21:$M$21</definedName>
    <definedName name="Walmart_OperatingLease">'Raw Data'!$C$22:$M$22</definedName>
    <definedName name="Walmart_Revenue">'Raw Data'!$C$8:$M$8</definedName>
    <definedName name="Walmart_TotalAssets">'Raw Data'!$C$23:$M$23</definedName>
    <definedName name="Walmart_TotalDebt">'Raw Data'!$C$14:$M$14</definedName>
    <definedName name="Walmart_TotalEquity">'Raw Data'!$C$13:$M$13</definedName>
    <definedName name="WholeFoods_COGS">'Raw Data'!$C$84:$M$84</definedName>
    <definedName name="WholeFoods_CurrentAssets">'Raw Data'!$C$86:$M$86</definedName>
    <definedName name="WholeFoods_CurrentLiabilities">'Raw Data'!$C$87:$M$87</definedName>
    <definedName name="WholeFoods_Inventory">'Raw Data'!$C$97:$M$97</definedName>
    <definedName name="WholeFoods_LIFOReserve">'Raw Data'!$C$98:$M$98</definedName>
    <definedName name="WholeFoods_NetIncome">'Raw Data'!$C$85:$M$85</definedName>
    <definedName name="WholeFoods_OperatingIncome">'Raw Data'!$C$95:$M$95</definedName>
    <definedName name="WholeFoods_Revenue">'Raw Data'!$C$83:$M$83</definedName>
    <definedName name="WholeFoods_SuccessorRevenue">'Raw Data'!$C$99:$M$99</definedName>
    <definedName name="WholeFoods_TotalAssets">'Raw Data'!$C$96:$M$96</definedName>
    <definedName name="WholeFoods_TotalDebt">'Raw Data'!$C$89:$M$89</definedName>
    <definedName name="WholeFoods_TotalEquity">'Raw Data'!$C$88:$M$88</definedName>
    <definedName name="Years">'Raw Data'!$C$4:$M$4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6" l="1"/>
  <c r="J108" i="6"/>
  <c r="I108" i="6"/>
  <c r="H108" i="6"/>
  <c r="G108" i="6"/>
  <c r="F108" i="6"/>
  <c r="E108" i="6"/>
  <c r="D108" i="6"/>
  <c r="C108" i="6"/>
  <c r="B108" i="6"/>
  <c r="H107" i="6"/>
  <c r="G107" i="6"/>
  <c r="F107" i="6"/>
  <c r="E107" i="6"/>
  <c r="D107" i="6"/>
  <c r="B106" i="6"/>
  <c r="K105" i="6"/>
  <c r="I104" i="6"/>
  <c r="H104" i="6"/>
  <c r="E104" i="6"/>
  <c r="D104" i="6"/>
  <c r="C104" i="6"/>
  <c r="B104" i="6"/>
  <c r="K101" i="6"/>
  <c r="J101" i="6"/>
  <c r="I101" i="6"/>
  <c r="H101" i="6"/>
  <c r="G101" i="6"/>
  <c r="F101" i="6"/>
  <c r="E101" i="6"/>
  <c r="D101" i="6"/>
  <c r="C101" i="6"/>
  <c r="B101" i="6"/>
  <c r="G100" i="6"/>
  <c r="F100" i="6"/>
  <c r="D100" i="6"/>
  <c r="F98" i="6"/>
  <c r="K95" i="6"/>
  <c r="J95" i="6"/>
  <c r="I95" i="6"/>
  <c r="H95" i="6"/>
  <c r="G95" i="6"/>
  <c r="F95" i="6"/>
  <c r="E95" i="6"/>
  <c r="D95" i="6"/>
  <c r="C95" i="6"/>
  <c r="B95" i="6"/>
  <c r="H94" i="6"/>
  <c r="G94" i="6"/>
  <c r="F94" i="6"/>
  <c r="E94" i="6"/>
  <c r="D94" i="6"/>
  <c r="C94" i="6"/>
  <c r="K89" i="6"/>
  <c r="J89" i="6"/>
  <c r="I89" i="6"/>
  <c r="H89" i="6"/>
  <c r="G89" i="6"/>
  <c r="F89" i="6"/>
  <c r="E89" i="6"/>
  <c r="D89" i="6"/>
  <c r="C89" i="6"/>
  <c r="B89" i="6"/>
  <c r="K87" i="6"/>
  <c r="F86" i="6"/>
  <c r="E86" i="6"/>
  <c r="H85" i="6"/>
  <c r="G85" i="6"/>
  <c r="K82" i="6"/>
  <c r="J82" i="6"/>
  <c r="I82" i="6"/>
  <c r="H82" i="6"/>
  <c r="G82" i="6"/>
  <c r="F82" i="6"/>
  <c r="E82" i="6"/>
  <c r="D82" i="6"/>
  <c r="C82" i="6"/>
  <c r="B82" i="6"/>
  <c r="F81" i="6"/>
  <c r="I79" i="6"/>
  <c r="H79" i="6"/>
  <c r="G79" i="6"/>
  <c r="K76" i="6"/>
  <c r="J76" i="6"/>
  <c r="I76" i="6"/>
  <c r="H76" i="6"/>
  <c r="G76" i="6"/>
  <c r="F76" i="6"/>
  <c r="E76" i="6"/>
  <c r="D76" i="6"/>
  <c r="C76" i="6"/>
  <c r="B76" i="6"/>
  <c r="I75" i="6"/>
  <c r="H75" i="6"/>
  <c r="G75" i="6"/>
  <c r="C74" i="6"/>
  <c r="B74" i="6"/>
  <c r="B72" i="6"/>
  <c r="K71" i="6"/>
  <c r="G12" i="5"/>
  <c r="G10" i="5"/>
  <c r="E10" i="5"/>
  <c r="C8" i="5"/>
  <c r="G6" i="5"/>
  <c r="D6" i="5"/>
  <c r="C6" i="5"/>
  <c r="N54" i="4"/>
  <c r="K54" i="4"/>
  <c r="J54" i="4"/>
  <c r="I54" i="4"/>
  <c r="M54" i="4" s="1"/>
  <c r="H54" i="4"/>
  <c r="G54" i="4"/>
  <c r="F54" i="4"/>
  <c r="E54" i="4"/>
  <c r="D54" i="4"/>
  <c r="C54" i="4"/>
  <c r="B54" i="4"/>
  <c r="N53" i="4"/>
  <c r="K53" i="4"/>
  <c r="J53" i="4"/>
  <c r="J107" i="6" s="1"/>
  <c r="I53" i="4"/>
  <c r="I107" i="6" s="1"/>
  <c r="H53" i="4"/>
  <c r="G53" i="4"/>
  <c r="F53" i="4"/>
  <c r="E53" i="4"/>
  <c r="D53" i="4"/>
  <c r="C53" i="4"/>
  <c r="C107" i="6" s="1"/>
  <c r="B53" i="4"/>
  <c r="B107" i="6" s="1"/>
  <c r="N52" i="4"/>
  <c r="K52" i="4"/>
  <c r="L52" i="4" s="1"/>
  <c r="J52" i="4"/>
  <c r="J106" i="6" s="1"/>
  <c r="I52" i="4"/>
  <c r="I106" i="6" s="1"/>
  <c r="H52" i="4"/>
  <c r="H106" i="6" s="1"/>
  <c r="G52" i="4"/>
  <c r="F52" i="4"/>
  <c r="F106" i="6" s="1"/>
  <c r="E52" i="4"/>
  <c r="E106" i="6" s="1"/>
  <c r="D52" i="4"/>
  <c r="D106" i="6" s="1"/>
  <c r="C52" i="4"/>
  <c r="C106" i="6" s="1"/>
  <c r="B52" i="4"/>
  <c r="N51" i="4"/>
  <c r="K51" i="4"/>
  <c r="J51" i="4"/>
  <c r="J105" i="6" s="1"/>
  <c r="I51" i="4"/>
  <c r="I105" i="6" s="1"/>
  <c r="H51" i="4"/>
  <c r="H105" i="6" s="1"/>
  <c r="G51" i="4"/>
  <c r="G105" i="6" s="1"/>
  <c r="F51" i="4"/>
  <c r="F105" i="6" s="1"/>
  <c r="E51" i="4"/>
  <c r="E105" i="6" s="1"/>
  <c r="D51" i="4"/>
  <c r="D105" i="6" s="1"/>
  <c r="C51" i="4"/>
  <c r="C105" i="6" s="1"/>
  <c r="B51" i="4"/>
  <c r="B105" i="6" s="1"/>
  <c r="N50" i="4"/>
  <c r="K50" i="4"/>
  <c r="D16" i="5" s="1"/>
  <c r="J50" i="4"/>
  <c r="J104" i="6" s="1"/>
  <c r="I50" i="4"/>
  <c r="H50" i="4"/>
  <c r="G50" i="4"/>
  <c r="G104" i="6" s="1"/>
  <c r="F50" i="4"/>
  <c r="F104" i="6" s="1"/>
  <c r="E50" i="4"/>
  <c r="M50" i="4" s="1"/>
  <c r="D50" i="4"/>
  <c r="C50" i="4"/>
  <c r="B50" i="4"/>
  <c r="N49" i="4"/>
  <c r="K49" i="4"/>
  <c r="K103" i="6" s="1"/>
  <c r="J49" i="4"/>
  <c r="J103" i="6" s="1"/>
  <c r="I49" i="4"/>
  <c r="I103" i="6" s="1"/>
  <c r="H49" i="4"/>
  <c r="H103" i="6" s="1"/>
  <c r="G49" i="4"/>
  <c r="G103" i="6" s="1"/>
  <c r="F49" i="4"/>
  <c r="F103" i="6" s="1"/>
  <c r="E49" i="4"/>
  <c r="E103" i="6" s="1"/>
  <c r="D49" i="4"/>
  <c r="D103" i="6" s="1"/>
  <c r="C49" i="4"/>
  <c r="C103" i="6" s="1"/>
  <c r="B49" i="4"/>
  <c r="B103" i="6" s="1"/>
  <c r="N46" i="4"/>
  <c r="K46" i="4"/>
  <c r="J46" i="4"/>
  <c r="I46" i="4"/>
  <c r="H46" i="4"/>
  <c r="G46" i="4"/>
  <c r="F46" i="4"/>
  <c r="E46" i="4"/>
  <c r="D46" i="4"/>
  <c r="N45" i="4"/>
  <c r="K45" i="4"/>
  <c r="J45" i="4"/>
  <c r="I45" i="4"/>
  <c r="M45" i="4" s="1"/>
  <c r="H45" i="4"/>
  <c r="G45" i="4"/>
  <c r="F45" i="4"/>
  <c r="E45" i="4"/>
  <c r="D45" i="4"/>
  <c r="C45" i="4"/>
  <c r="B45" i="4"/>
  <c r="N44" i="4"/>
  <c r="I44" i="4"/>
  <c r="H44" i="4"/>
  <c r="G44" i="4"/>
  <c r="F44" i="4"/>
  <c r="N43" i="4"/>
  <c r="H43" i="4"/>
  <c r="N42" i="4"/>
  <c r="D42" i="4"/>
  <c r="C42" i="4"/>
  <c r="B42" i="4"/>
  <c r="N39" i="4"/>
  <c r="K39" i="4"/>
  <c r="J39" i="4"/>
  <c r="J100" i="6" s="1"/>
  <c r="I39" i="4"/>
  <c r="H39" i="4"/>
  <c r="H100" i="6" s="1"/>
  <c r="G39" i="4"/>
  <c r="F39" i="4"/>
  <c r="E39" i="4"/>
  <c r="E100" i="6" s="1"/>
  <c r="D39" i="4"/>
  <c r="N38" i="4"/>
  <c r="K38" i="4"/>
  <c r="F14" i="5" s="1"/>
  <c r="J38" i="4"/>
  <c r="I38" i="4"/>
  <c r="H38" i="4"/>
  <c r="G38" i="4"/>
  <c r="F38" i="4"/>
  <c r="E38" i="4"/>
  <c r="M38" i="4" s="1"/>
  <c r="D38" i="4"/>
  <c r="C38" i="4"/>
  <c r="B38" i="4"/>
  <c r="N37" i="4"/>
  <c r="C37" i="4"/>
  <c r="C99" i="6" s="1"/>
  <c r="B37" i="4"/>
  <c r="B99" i="6" s="1"/>
  <c r="N36" i="4"/>
  <c r="I36" i="4"/>
  <c r="H36" i="4"/>
  <c r="H98" i="6" s="1"/>
  <c r="G36" i="4"/>
  <c r="G98" i="6" s="1"/>
  <c r="F36" i="4"/>
  <c r="B36" i="4"/>
  <c r="N35" i="4"/>
  <c r="J35" i="4"/>
  <c r="J97" i="6" s="1"/>
  <c r="I35" i="4"/>
  <c r="I97" i="6" s="1"/>
  <c r="N32" i="4"/>
  <c r="K32" i="4"/>
  <c r="K94" i="6" s="1"/>
  <c r="J32" i="4"/>
  <c r="J94" i="6" s="1"/>
  <c r="I32" i="4"/>
  <c r="I94" i="6" s="1"/>
  <c r="H32" i="4"/>
  <c r="G32" i="4"/>
  <c r="F32" i="4"/>
  <c r="E32" i="4"/>
  <c r="D32" i="4"/>
  <c r="C32" i="4"/>
  <c r="B32" i="4"/>
  <c r="B94" i="6" s="1"/>
  <c r="N31" i="4"/>
  <c r="K31" i="4"/>
  <c r="F12" i="5" s="1"/>
  <c r="J31" i="4"/>
  <c r="I31" i="4"/>
  <c r="M31" i="4" s="1"/>
  <c r="H31" i="4"/>
  <c r="G31" i="4"/>
  <c r="F31" i="4"/>
  <c r="E31" i="4"/>
  <c r="D31" i="4"/>
  <c r="C31" i="4"/>
  <c r="B31" i="4"/>
  <c r="N30" i="4"/>
  <c r="K30" i="4"/>
  <c r="E12" i="5" s="1"/>
  <c r="J30" i="4"/>
  <c r="J93" i="6" s="1"/>
  <c r="I30" i="4"/>
  <c r="M30" i="4" s="1"/>
  <c r="H30" i="4"/>
  <c r="H93" i="6" s="1"/>
  <c r="G30" i="4"/>
  <c r="G93" i="6" s="1"/>
  <c r="F30" i="4"/>
  <c r="F93" i="6" s="1"/>
  <c r="E30" i="4"/>
  <c r="E93" i="6" s="1"/>
  <c r="D30" i="4"/>
  <c r="D93" i="6" s="1"/>
  <c r="C30" i="4"/>
  <c r="C93" i="6" s="1"/>
  <c r="B30" i="4"/>
  <c r="B93" i="6" s="1"/>
  <c r="N29" i="4"/>
  <c r="K29" i="4"/>
  <c r="L29" i="4" s="1"/>
  <c r="J29" i="4"/>
  <c r="J92" i="6" s="1"/>
  <c r="I29" i="4"/>
  <c r="I92" i="6" s="1"/>
  <c r="H29" i="4"/>
  <c r="H92" i="6" s="1"/>
  <c r="G29" i="4"/>
  <c r="G92" i="6" s="1"/>
  <c r="F29" i="4"/>
  <c r="F92" i="6" s="1"/>
  <c r="E29" i="4"/>
  <c r="E92" i="6" s="1"/>
  <c r="D29" i="4"/>
  <c r="D92" i="6" s="1"/>
  <c r="C29" i="4"/>
  <c r="C92" i="6" s="1"/>
  <c r="B29" i="4"/>
  <c r="B92" i="6" s="1"/>
  <c r="N28" i="4"/>
  <c r="K28" i="4"/>
  <c r="J28" i="4"/>
  <c r="J91" i="6" s="1"/>
  <c r="I28" i="4"/>
  <c r="I91" i="6" s="1"/>
  <c r="H28" i="4"/>
  <c r="H91" i="6" s="1"/>
  <c r="G28" i="4"/>
  <c r="G91" i="6" s="1"/>
  <c r="F28" i="4"/>
  <c r="F91" i="6" s="1"/>
  <c r="E28" i="4"/>
  <c r="E91" i="6" s="1"/>
  <c r="D28" i="4"/>
  <c r="D91" i="6" s="1"/>
  <c r="C28" i="4"/>
  <c r="C91" i="6" s="1"/>
  <c r="B28" i="4"/>
  <c r="B91" i="6" s="1"/>
  <c r="N25" i="4"/>
  <c r="M25" i="4"/>
  <c r="L25" i="4"/>
  <c r="K25" i="4"/>
  <c r="K81" i="6" s="1"/>
  <c r="J25" i="4"/>
  <c r="J81" i="6" s="1"/>
  <c r="I25" i="4"/>
  <c r="I81" i="6" s="1"/>
  <c r="H25" i="4"/>
  <c r="H81" i="6" s="1"/>
  <c r="G25" i="4"/>
  <c r="G81" i="6" s="1"/>
  <c r="F25" i="4"/>
  <c r="E25" i="4"/>
  <c r="E81" i="6" s="1"/>
  <c r="D25" i="4"/>
  <c r="D81" i="6" s="1"/>
  <c r="C25" i="4"/>
  <c r="C81" i="6" s="1"/>
  <c r="B25" i="4"/>
  <c r="B81" i="6" s="1"/>
  <c r="N24" i="4"/>
  <c r="K24" i="4"/>
  <c r="L24" i="4" s="1"/>
  <c r="J24" i="4"/>
  <c r="I24" i="4"/>
  <c r="M24" i="4" s="1"/>
  <c r="H24" i="4"/>
  <c r="G24" i="4"/>
  <c r="F24" i="4"/>
  <c r="E24" i="4"/>
  <c r="D24" i="4"/>
  <c r="C24" i="4"/>
  <c r="B24" i="4"/>
  <c r="N23" i="4"/>
  <c r="K23" i="4"/>
  <c r="J23" i="4"/>
  <c r="J80" i="6" s="1"/>
  <c r="I23" i="4"/>
  <c r="H23" i="4"/>
  <c r="H80" i="6" s="1"/>
  <c r="G23" i="4"/>
  <c r="G80" i="6" s="1"/>
  <c r="F23" i="4"/>
  <c r="F80" i="6" s="1"/>
  <c r="E23" i="4"/>
  <c r="E80" i="6" s="1"/>
  <c r="D23" i="4"/>
  <c r="D80" i="6" s="1"/>
  <c r="C23" i="4"/>
  <c r="C80" i="6" s="1"/>
  <c r="B23" i="4"/>
  <c r="B80" i="6" s="1"/>
  <c r="N22" i="4"/>
  <c r="K22" i="4"/>
  <c r="J22" i="4"/>
  <c r="J79" i="6" s="1"/>
  <c r="I22" i="4"/>
  <c r="H22" i="4"/>
  <c r="G22" i="4"/>
  <c r="F22" i="4"/>
  <c r="F79" i="6" s="1"/>
  <c r="E22" i="4"/>
  <c r="E79" i="6" s="1"/>
  <c r="D22" i="4"/>
  <c r="D79" i="6" s="1"/>
  <c r="C22" i="4"/>
  <c r="C79" i="6" s="1"/>
  <c r="B22" i="4"/>
  <c r="B79" i="6" s="1"/>
  <c r="N21" i="4"/>
  <c r="K21" i="4"/>
  <c r="K78" i="6" s="1"/>
  <c r="J21" i="4"/>
  <c r="J78" i="6" s="1"/>
  <c r="I21" i="4"/>
  <c r="M21" i="4" s="1"/>
  <c r="H21" i="4"/>
  <c r="H78" i="6" s="1"/>
  <c r="G21" i="4"/>
  <c r="G78" i="6" s="1"/>
  <c r="F21" i="4"/>
  <c r="F78" i="6" s="1"/>
  <c r="E21" i="4"/>
  <c r="E78" i="6" s="1"/>
  <c r="D21" i="4"/>
  <c r="D78" i="6" s="1"/>
  <c r="C21" i="4"/>
  <c r="C78" i="6" s="1"/>
  <c r="B21" i="4"/>
  <c r="B78" i="6" s="1"/>
  <c r="N18" i="4"/>
  <c r="K18" i="4"/>
  <c r="J18" i="4"/>
  <c r="J88" i="6" s="1"/>
  <c r="I18" i="4"/>
  <c r="I88" i="6" s="1"/>
  <c r="H18" i="4"/>
  <c r="H88" i="6" s="1"/>
  <c r="G18" i="4"/>
  <c r="G88" i="6" s="1"/>
  <c r="F18" i="4"/>
  <c r="F88" i="6" s="1"/>
  <c r="E18" i="4"/>
  <c r="M18" i="4" s="1"/>
  <c r="D18" i="4"/>
  <c r="D88" i="6" s="1"/>
  <c r="C18" i="4"/>
  <c r="C88" i="6" s="1"/>
  <c r="B18" i="4"/>
  <c r="B88" i="6" s="1"/>
  <c r="N17" i="4"/>
  <c r="K17" i="4"/>
  <c r="F8" i="5" s="1"/>
  <c r="J17" i="4"/>
  <c r="J87" i="6" s="1"/>
  <c r="I17" i="4"/>
  <c r="H17" i="4"/>
  <c r="H87" i="6" s="1"/>
  <c r="G17" i="4"/>
  <c r="G87" i="6" s="1"/>
  <c r="F17" i="4"/>
  <c r="F87" i="6" s="1"/>
  <c r="E17" i="4"/>
  <c r="E87" i="6" s="1"/>
  <c r="D17" i="4"/>
  <c r="D87" i="6" s="1"/>
  <c r="C17" i="4"/>
  <c r="C87" i="6" s="1"/>
  <c r="B17" i="4"/>
  <c r="B87" i="6" s="1"/>
  <c r="N16" i="4"/>
  <c r="K16" i="4"/>
  <c r="K86" i="6" s="1"/>
  <c r="J16" i="4"/>
  <c r="J86" i="6" s="1"/>
  <c r="I16" i="4"/>
  <c r="H16" i="4"/>
  <c r="H86" i="6" s="1"/>
  <c r="G16" i="4"/>
  <c r="G86" i="6" s="1"/>
  <c r="F16" i="4"/>
  <c r="E16" i="4"/>
  <c r="D16" i="4"/>
  <c r="D86" i="6" s="1"/>
  <c r="C16" i="4"/>
  <c r="C86" i="6" s="1"/>
  <c r="B16" i="4"/>
  <c r="N15" i="4"/>
  <c r="K15" i="4"/>
  <c r="J15" i="4"/>
  <c r="J85" i="6" s="1"/>
  <c r="I15" i="4"/>
  <c r="H15" i="4"/>
  <c r="G15" i="4"/>
  <c r="F15" i="4"/>
  <c r="F85" i="6" s="1"/>
  <c r="E15" i="4"/>
  <c r="E85" i="6" s="1"/>
  <c r="D15" i="4"/>
  <c r="D85" i="6" s="1"/>
  <c r="C15" i="4"/>
  <c r="C85" i="6" s="1"/>
  <c r="B15" i="4"/>
  <c r="B85" i="6" s="1"/>
  <c r="N14" i="4"/>
  <c r="K14" i="4"/>
  <c r="K84" i="6" s="1"/>
  <c r="J14" i="4"/>
  <c r="J84" i="6" s="1"/>
  <c r="I14" i="4"/>
  <c r="I84" i="6" s="1"/>
  <c r="H14" i="4"/>
  <c r="H84" i="6" s="1"/>
  <c r="G14" i="4"/>
  <c r="G84" i="6" s="1"/>
  <c r="F14" i="4"/>
  <c r="F84" i="6" s="1"/>
  <c r="E14" i="4"/>
  <c r="E84" i="6" s="1"/>
  <c r="D14" i="4"/>
  <c r="D84" i="6" s="1"/>
  <c r="C14" i="4"/>
  <c r="C84" i="6" s="1"/>
  <c r="B14" i="4"/>
  <c r="N11" i="4"/>
  <c r="M11" i="4"/>
  <c r="L11" i="4"/>
  <c r="K11" i="4"/>
  <c r="K75" i="6" s="1"/>
  <c r="J11" i="4"/>
  <c r="J75" i="6" s="1"/>
  <c r="I11" i="4"/>
  <c r="H11" i="4"/>
  <c r="G11" i="4"/>
  <c r="F11" i="4"/>
  <c r="F75" i="6" s="1"/>
  <c r="E11" i="4"/>
  <c r="E75" i="6" s="1"/>
  <c r="D11" i="4"/>
  <c r="D75" i="6" s="1"/>
  <c r="C11" i="4"/>
  <c r="C75" i="6" s="1"/>
  <c r="B11" i="4"/>
  <c r="B75" i="6" s="1"/>
  <c r="N10" i="4"/>
  <c r="K10" i="4"/>
  <c r="F6" i="5" s="1"/>
  <c r="J10" i="4"/>
  <c r="J74" i="6" s="1"/>
  <c r="I10" i="4"/>
  <c r="M10" i="4" s="1"/>
  <c r="H10" i="4"/>
  <c r="H74" i="6" s="1"/>
  <c r="G10" i="4"/>
  <c r="G74" i="6" s="1"/>
  <c r="F10" i="4"/>
  <c r="F74" i="6" s="1"/>
  <c r="E10" i="4"/>
  <c r="E74" i="6" s="1"/>
  <c r="D10" i="4"/>
  <c r="D74" i="6" s="1"/>
  <c r="C10" i="4"/>
  <c r="B10" i="4"/>
  <c r="N9" i="4"/>
  <c r="K9" i="4"/>
  <c r="K73" i="6" s="1"/>
  <c r="J9" i="4"/>
  <c r="J73" i="6" s="1"/>
  <c r="I9" i="4"/>
  <c r="H9" i="4"/>
  <c r="H73" i="6" s="1"/>
  <c r="G9" i="4"/>
  <c r="G73" i="6" s="1"/>
  <c r="F9" i="4"/>
  <c r="F73" i="6" s="1"/>
  <c r="E9" i="4"/>
  <c r="E73" i="6" s="1"/>
  <c r="D9" i="4"/>
  <c r="D73" i="6" s="1"/>
  <c r="C9" i="4"/>
  <c r="C73" i="6" s="1"/>
  <c r="B9" i="4"/>
  <c r="B73" i="6" s="1"/>
  <c r="N8" i="4"/>
  <c r="K8" i="4"/>
  <c r="K72" i="6" s="1"/>
  <c r="J8" i="4"/>
  <c r="J72" i="6" s="1"/>
  <c r="I8" i="4"/>
  <c r="I72" i="6" s="1"/>
  <c r="H8" i="4"/>
  <c r="H72" i="6" s="1"/>
  <c r="G8" i="4"/>
  <c r="G72" i="6" s="1"/>
  <c r="F8" i="4"/>
  <c r="F72" i="6" s="1"/>
  <c r="E8" i="4"/>
  <c r="M8" i="4" s="1"/>
  <c r="D8" i="4"/>
  <c r="D72" i="6" s="1"/>
  <c r="C8" i="4"/>
  <c r="C72" i="6" s="1"/>
  <c r="B8" i="4"/>
  <c r="B23" i="2" s="1"/>
  <c r="N7" i="4"/>
  <c r="K7" i="4"/>
  <c r="J7" i="4"/>
  <c r="J71" i="6" s="1"/>
  <c r="I7" i="4"/>
  <c r="H7" i="4"/>
  <c r="B15" i="2" s="1"/>
  <c r="G7" i="4"/>
  <c r="G71" i="6" s="1"/>
  <c r="F7" i="4"/>
  <c r="F71" i="6" s="1"/>
  <c r="E7" i="4"/>
  <c r="E71" i="6" s="1"/>
  <c r="D7" i="4"/>
  <c r="D71" i="6" s="1"/>
  <c r="C7" i="4"/>
  <c r="C71" i="6" s="1"/>
  <c r="B7" i="4"/>
  <c r="B71" i="6" s="1"/>
  <c r="E89" i="3"/>
  <c r="D89" i="3"/>
  <c r="C89" i="3"/>
  <c r="M56" i="3"/>
  <c r="L56" i="3"/>
  <c r="J37" i="4" s="1"/>
  <c r="J99" i="6" s="1"/>
  <c r="K56" i="3"/>
  <c r="I37" i="4" s="1"/>
  <c r="I99" i="6" s="1"/>
  <c r="J56" i="3"/>
  <c r="H37" i="4" s="1"/>
  <c r="H99" i="6" s="1"/>
  <c r="I56" i="3"/>
  <c r="G37" i="4" s="1"/>
  <c r="G99" i="6" s="1"/>
  <c r="H56" i="3"/>
  <c r="F37" i="4" s="1"/>
  <c r="F99" i="6" s="1"/>
  <c r="G56" i="3"/>
  <c r="E37" i="4" s="1"/>
  <c r="E99" i="6" s="1"/>
  <c r="F56" i="3"/>
  <c r="E56" i="3"/>
  <c r="C44" i="4" s="1"/>
  <c r="D56" i="3"/>
  <c r="B44" i="4" s="1"/>
  <c r="C56" i="3"/>
  <c r="M46" i="3"/>
  <c r="L46" i="3"/>
  <c r="K46" i="3"/>
  <c r="J46" i="3"/>
  <c r="I46" i="3"/>
  <c r="H46" i="3"/>
  <c r="G46" i="3"/>
  <c r="F46" i="3"/>
  <c r="E46" i="3"/>
  <c r="D46" i="3"/>
  <c r="C46" i="3"/>
  <c r="M34" i="3"/>
  <c r="K36" i="4" s="1"/>
  <c r="L36" i="4" s="1"/>
  <c r="L34" i="3"/>
  <c r="K34" i="3"/>
  <c r="I43" i="4" s="1"/>
  <c r="J34" i="3"/>
  <c r="I34" i="3"/>
  <c r="G43" i="4" s="1"/>
  <c r="H34" i="3"/>
  <c r="F43" i="4" s="1"/>
  <c r="G34" i="3"/>
  <c r="F34" i="3"/>
  <c r="E34" i="3"/>
  <c r="C36" i="4" s="1"/>
  <c r="C98" i="6" s="1"/>
  <c r="D34" i="3"/>
  <c r="B43" i="4" s="1"/>
  <c r="C34" i="3"/>
  <c r="M14" i="3"/>
  <c r="K35" i="4" s="1"/>
  <c r="L14" i="3"/>
  <c r="J42" i="4" s="1"/>
  <c r="K14" i="3"/>
  <c r="I42" i="4" s="1"/>
  <c r="M42" i="4" s="1"/>
  <c r="J14" i="3"/>
  <c r="I14" i="3"/>
  <c r="H14" i="3"/>
  <c r="G14" i="3"/>
  <c r="E42" i="4" s="1"/>
  <c r="F14" i="3"/>
  <c r="D35" i="4" s="1"/>
  <c r="D97" i="6" s="1"/>
  <c r="E14" i="3"/>
  <c r="C35" i="4" s="1"/>
  <c r="C97" i="6" s="1"/>
  <c r="D14" i="3"/>
  <c r="B35" i="4" s="1"/>
  <c r="C14" i="3"/>
  <c r="B35" i="2"/>
  <c r="B34" i="2"/>
  <c r="B29" i="2"/>
  <c r="B9" i="2"/>
  <c r="B24" i="2" l="1"/>
  <c r="D12" i="5"/>
  <c r="L51" i="4"/>
  <c r="M51" i="4"/>
  <c r="E16" i="5"/>
  <c r="I93" i="6"/>
  <c r="M53" i="4"/>
  <c r="B16" i="2"/>
  <c r="M9" i="4"/>
  <c r="K92" i="6"/>
  <c r="M28" i="4"/>
  <c r="F16" i="5"/>
  <c r="L49" i="4"/>
  <c r="M46" i="4"/>
  <c r="C16" i="5"/>
  <c r="I16" i="5" s="1"/>
  <c r="L45" i="4"/>
  <c r="L54" i="4"/>
  <c r="K93" i="6"/>
  <c r="K106" i="6"/>
  <c r="M49" i="4"/>
  <c r="B21" i="2"/>
  <c r="F10" i="5"/>
  <c r="E35" i="4"/>
  <c r="E97" i="6" s="1"/>
  <c r="E44" i="4"/>
  <c r="M44" i="4" s="1"/>
  <c r="H71" i="6"/>
  <c r="L35" i="4"/>
  <c r="K97" i="6"/>
  <c r="K37" i="4"/>
  <c r="B8" i="2" s="1"/>
  <c r="K44" i="4"/>
  <c r="L44" i="4" s="1"/>
  <c r="L14" i="4"/>
  <c r="B84" i="6"/>
  <c r="L22" i="4"/>
  <c r="K79" i="6"/>
  <c r="D10" i="5"/>
  <c r="I74" i="6"/>
  <c r="B27" i="2"/>
  <c r="L10" i="4"/>
  <c r="C14" i="5"/>
  <c r="B46" i="4"/>
  <c r="L46" i="4" s="1"/>
  <c r="B39" i="4"/>
  <c r="B100" i="6" s="1"/>
  <c r="K74" i="6"/>
  <c r="D36" i="4"/>
  <c r="D98" i="6" s="1"/>
  <c r="D43" i="4"/>
  <c r="C46" i="4"/>
  <c r="C39" i="4"/>
  <c r="C100" i="6" s="1"/>
  <c r="E36" i="4"/>
  <c r="E98" i="6" s="1"/>
  <c r="E43" i="4"/>
  <c r="M43" i="4" s="1"/>
  <c r="L31" i="4"/>
  <c r="K42" i="4"/>
  <c r="L42" i="4" s="1"/>
  <c r="J44" i="4"/>
  <c r="L38" i="4"/>
  <c r="G16" i="5"/>
  <c r="K107" i="6"/>
  <c r="E72" i="6"/>
  <c r="L53" i="4"/>
  <c r="E88" i="6"/>
  <c r="K88" i="6"/>
  <c r="G8" i="5"/>
  <c r="L30" i="4"/>
  <c r="B28" i="2"/>
  <c r="M37" i="4"/>
  <c r="J43" i="4"/>
  <c r="J36" i="4"/>
  <c r="J98" i="6" s="1"/>
  <c r="D44" i="4"/>
  <c r="D37" i="4"/>
  <c r="D99" i="6" s="1"/>
  <c r="L18" i="4"/>
  <c r="C43" i="4"/>
  <c r="F42" i="4"/>
  <c r="F35" i="4"/>
  <c r="F97" i="6" s="1"/>
  <c r="I87" i="6"/>
  <c r="M17" i="4"/>
  <c r="M29" i="4"/>
  <c r="M7" i="4"/>
  <c r="I71" i="6"/>
  <c r="K43" i="4"/>
  <c r="M16" i="4"/>
  <c r="I86" i="6"/>
  <c r="L28" i="4"/>
  <c r="K91" i="6"/>
  <c r="C12" i="5"/>
  <c r="I98" i="6"/>
  <c r="M32" i="4"/>
  <c r="K85" i="6"/>
  <c r="D8" i="5"/>
  <c r="F9" i="5" s="1"/>
  <c r="L21" i="4"/>
  <c r="C10" i="5"/>
  <c r="L15" i="4"/>
  <c r="G106" i="6"/>
  <c r="B17" i="2"/>
  <c r="B97" i="6"/>
  <c r="B86" i="6"/>
  <c r="B22" i="2"/>
  <c r="L8" i="4"/>
  <c r="M23" i="4"/>
  <c r="I80" i="6"/>
  <c r="D14" i="5"/>
  <c r="K98" i="6"/>
  <c r="M14" i="4"/>
  <c r="G42" i="4"/>
  <c r="G35" i="4"/>
  <c r="G97" i="6" s="1"/>
  <c r="K80" i="6"/>
  <c r="L23" i="4"/>
  <c r="B98" i="6"/>
  <c r="B6" i="2"/>
  <c r="M52" i="4"/>
  <c r="B14" i="2"/>
  <c r="H35" i="4"/>
  <c r="H97" i="6" s="1"/>
  <c r="H42" i="4"/>
  <c r="L7" i="4"/>
  <c r="L17" i="4"/>
  <c r="I100" i="6"/>
  <c r="M39" i="4"/>
  <c r="I73" i="6"/>
  <c r="L50" i="4"/>
  <c r="K100" i="6"/>
  <c r="G14" i="5"/>
  <c r="G19" i="5" s="1"/>
  <c r="E8" i="5"/>
  <c r="L9" i="4"/>
  <c r="L16" i="4"/>
  <c r="M22" i="4"/>
  <c r="L39" i="4"/>
  <c r="M15" i="4"/>
  <c r="I85" i="6"/>
  <c r="E6" i="5"/>
  <c r="L32" i="4"/>
  <c r="K104" i="6"/>
  <c r="I78" i="6"/>
  <c r="E17" i="5" l="1"/>
  <c r="G17" i="5"/>
  <c r="D17" i="5"/>
  <c r="M35" i="4"/>
  <c r="C17" i="5"/>
  <c r="D11" i="5"/>
  <c r="E7" i="5"/>
  <c r="I6" i="5"/>
  <c r="I12" i="5"/>
  <c r="D13" i="5"/>
  <c r="C13" i="5"/>
  <c r="H12" i="5"/>
  <c r="J12" i="5" s="1"/>
  <c r="G13" i="5"/>
  <c r="E13" i="5"/>
  <c r="C7" i="5"/>
  <c r="F19" i="5"/>
  <c r="G7" i="5"/>
  <c r="C11" i="5"/>
  <c r="H10" i="5"/>
  <c r="I10" i="5"/>
  <c r="L43" i="4"/>
  <c r="B10" i="2"/>
  <c r="D9" i="5"/>
  <c r="I8" i="5"/>
  <c r="H8" i="5"/>
  <c r="J8" i="5" s="1"/>
  <c r="G9" i="5"/>
  <c r="E9" i="5"/>
  <c r="F7" i="5"/>
  <c r="G11" i="5"/>
  <c r="F11" i="5"/>
  <c r="E14" i="5"/>
  <c r="E15" i="5" s="1"/>
  <c r="K99" i="6"/>
  <c r="L37" i="4"/>
  <c r="B7" i="2"/>
  <c r="D7" i="5"/>
  <c r="E11" i="5"/>
  <c r="F13" i="5"/>
  <c r="F17" i="5"/>
  <c r="C9" i="5"/>
  <c r="H6" i="5"/>
  <c r="J6" i="5" s="1"/>
  <c r="M36" i="4"/>
  <c r="H16" i="5"/>
  <c r="J16" i="5" s="1"/>
  <c r="G15" i="5" l="1"/>
  <c r="F15" i="5"/>
  <c r="I14" i="5"/>
  <c r="J10" i="5"/>
  <c r="C15" i="5"/>
  <c r="H14" i="5"/>
  <c r="J14" i="5" s="1"/>
  <c r="C19" i="5"/>
  <c r="D19" i="5"/>
  <c r="D15" i="5"/>
  <c r="E19" i="5"/>
  <c r="I19" i="5" l="1"/>
  <c r="H19" i="5"/>
</calcChain>
</file>

<file path=xl/sharedStrings.xml><?xml version="1.0" encoding="utf-8"?>
<sst xmlns="http://schemas.openxmlformats.org/spreadsheetml/2006/main" count="7065" uniqueCount="580">
  <si>
    <t>LOGO</t>
  </si>
  <si>
    <t>01   —   COVER          ·          COMPETITOR SCORECARD   ·   FY2016–FY2025   ·   SEC 10-K DATA</t>
  </si>
  <si>
    <t>Competitor Scorecard:</t>
  </si>
  <si>
    <t>Walmart, Costco, Kroger &amp; Sam's Club</t>
  </si>
  <si>
    <t>with Whole Foods Market on a best-effort basis</t>
  </si>
  <si>
    <t>Ten-year financial comparison (FY2016–FY2025) built from SEC 10-K filings: capital structure, resilience through 2020–2023, and margin pressure — every ratio a live formula traceable to its XBRL fact.</t>
  </si>
  <si>
    <t>Prepared by</t>
  </si>
  <si>
    <t>Ryan Barry</t>
  </si>
  <si>
    <t>Date</t>
  </si>
  <si>
    <t>September 18, 2026</t>
  </si>
  <si>
    <t>Data source</t>
  </si>
  <si>
    <t>SEC EDGAR – 10-K XBRL filings (companyfacts API and instance documents)</t>
  </si>
  <si>
    <t>Coverage</t>
  </si>
  <si>
    <t>Walmart Inc. · Costco Wholesale Corp. · The Kroger Co. – full 10-K coverage FY2016–FY2025</t>
  </si>
  <si>
    <t>Sam's Club – Walmart reportable segment (ASC 280): sales, operating income, assets; cost of sales FY2022+</t>
  </si>
  <si>
    <t>Whole Foods Market – standalone 10-Ks FY2016–FY2017; Amazon 'Physical stores' net sales thereafter</t>
  </si>
  <si>
    <t>Units</t>
  </si>
  <si>
    <t>USD millions unless stated; fiscal years labelled by SEC frame convention (see Methodology)</t>
  </si>
  <si>
    <t>Status</t>
  </si>
  <si>
    <t>All formulas live; recalculated in Excel with zero formula errors</t>
  </si>
  <si>
    <t>Contents</t>
  </si>
  <si>
    <t>Executive Summary</t>
  </si>
  <si>
    <t>Findings against the three key questions, trend shifts, data caveats</t>
  </si>
  <si>
    <t>Raw Data</t>
  </si>
  <si>
    <t>As-reported inputs by company and year, named ranges, SEC citations, debt build</t>
  </si>
  <si>
    <t>Ratio Calculations</t>
  </si>
  <si>
    <t>Gross margin, operating margin, net margin, current ratio, debt-to-equity, revenue growth</t>
  </si>
  <si>
    <t>Scorecard</t>
  </si>
  <si>
    <t>Latest-year ranking per metric with conditional formatting and takeaways</t>
  </si>
  <si>
    <t>Trend</t>
  </si>
  <si>
    <t>Native line charts FY2016–FY2025 with the FY2020–FY2023 shock window shaded</t>
  </si>
  <si>
    <t>Methodology &amp; Tools</t>
  </si>
  <si>
    <t>Sources, techniques, accounting-policy comparability, assumptions</t>
  </si>
  <si>
    <t>Data Lineage</t>
  </si>
  <si>
    <t>Every input value with XBRL tag, accession number, filing date and restatement flag</t>
  </si>
  <si>
    <t>Personal portfolio project built from public filings only. Not an H-E-B work product; no non-public information used.</t>
  </si>
  <si>
    <t>COMPETITOR SCORECARD   ·   FY2016–FY2025   ·   SEC 10-K DATA</t>
  </si>
  <si>
    <t>Findings are stated against the three key questions. Every figure quoted below is a live formula into the Ratio Calculations and Raw Data tabs; cited transactions (debt issued, buybacks, charges) are on Raw Data under 'Supporting facts'.</t>
  </si>
  <si>
    <t>1. Capital structure &amp; financing strategy — who is financed most conservatively, and has that changed?</t>
  </si>
  <si>
    <t>BOTTOM LINE: Costco is the most conservatively financed of the group and has become more so every year since FY2021. Walmart's leverage is unchanged over the decade. Kroger has nearly tripled its debt-to-equity since FY2023 to fund share repurchases after the Albertsons merger collapsed – a deliberate capital-return decision, but the one red flag in the set.</t>
  </si>
  <si>
    <t>2. Resilience through 2020–2023 — who absorbed COVID and the inflation spike best, and who took the biggest hit?</t>
  </si>
  <si>
    <t>BOTTOM LINE: Costco absorbed the shock best – revenue, net margin and liquidity all rose through the window. Walmart took the biggest hit, with FY2022 gross and operating margins the lowest of the decade, but recovered within two years. Kroger's margin swings were fuel-mix effects, not financial stress.</t>
  </si>
  <si>
    <t>3. Margin pressure since 2016 — who has felt it most, and is it cost, pricing, or mix?</t>
  </si>
  <si>
    <t>BOTTOM LINE: Walmart has felt the most persistent pressure, and it is pricing and mix – gross margin gave up ground while SG&amp;A held. Kroger's decline is the steepest in operating terms but sits below gross profit: cost growth and FY2025 one-off charges, not pricing. Costco shows no pressure at all; Sam's Club's margin is improving.</t>
  </si>
  <si>
    <t>Notable trend shifts since FY2016</t>
  </si>
  <si>
    <t>Data caveats</t>
  </si>
  <si>
    <t>• Sam's Club is a reportable segment of Walmart (ASC 280), not a filer: net sales, operating income and total assets are available FY2016–FY2025; cost of revenue only from FY2022 (ASU 2023-07 comparatives); no net income, current ratio or debt is reported at segment level.</t>
  </si>
  <si>
    <t>• Whole Foods Market filed its last 10-K for FY2017 (acquired by Amazon.com 2017-08-28). FY2018 onward the only public figure is Amazon's 'Physical stores' net sales, which also includes Amazon Fresh and Amazon Go. Whole Foods' cost line included occupancy costs, so its ~34% gross margin is not like-for-like with peers.</t>
  </si>
  <si>
    <t>• 53-week fiscal years: Costco and Kroger FY2017 and FY2023 each contain 53 weeks (371 days), which flatters growth in those years and depresses it the year after by roughly 2 percentage points. Fiscal years are aligned by the SEC frame convention (calendar year holding most of the period), so Walmart's 'fiscal 2026' (ended January 2026) is FY2025 here.</t>
  </si>
  <si>
    <t>• Every input carries its XBRL tag, accession number and filing date on the Data Lineage tab; seven values the SEC API could not return were taken from the filing's XBRL instance or derived from two tagged facts and are shaded yellow on Raw Data.</t>
  </si>
  <si>
    <t>03   —   RAW DATA</t>
  </si>
  <si>
    <t>As reported in SEC 10-K filings. USD millions. Blue = hard-coded input from EDGAR XBRL (one citation per value on the Data Lineage tab); black = formula; 'n/a' = not reported – flagged, never estimated. Fiscal years labelled by SEC frame convention (FY2025 = Walmart fiscal 2026, Kroger 2025, Costco 2025).</t>
  </si>
  <si>
    <t>Line item</t>
  </si>
  <si>
    <t>XBRL tag(s) / basis</t>
  </si>
  <si>
    <t>Source / notes</t>
  </si>
  <si>
    <t>Walmart — Walmart Inc., CIK 104169</t>
  </si>
  <si>
    <t>Fiscal year end</t>
  </si>
  <si>
    <t>January 31</t>
  </si>
  <si>
    <t>Revenue (net sales)</t>
  </si>
  <si>
    <t>RevenueFromContractWithCustomerExcludingAssessedTax; SalesRevenueNet</t>
  </si>
  <si>
    <t>10-K XBRL via SEC companyfacts API; latest-filed (restated) value.</t>
  </si>
  <si>
    <t>Cost of sales</t>
  </si>
  <si>
    <t>CostOfRevenue</t>
  </si>
  <si>
    <t>Net income</t>
  </si>
  <si>
    <t>NetIncomeLoss</t>
  </si>
  <si>
    <t>10-K XBRL via SEC companyfacts API; latest-filed (restated) value. Attributable to the parent (NetIncomeLoss).</t>
  </si>
  <si>
    <t>Current assets</t>
  </si>
  <si>
    <t>AssetsCurrent</t>
  </si>
  <si>
    <t>Current liabilities</t>
  </si>
  <si>
    <t>LiabilitiesCurrent</t>
  </si>
  <si>
    <t>Total equity (incl. noncontrolling interest)</t>
  </si>
  <si>
    <t>StockholdersEquityIncludingPortionAttributableToNoncontrollingInterest</t>
  </si>
  <si>
    <t>10-K XBRL via SEC companyfacts API; latest-filed (restated) value. Includes noncontrolling interest (Walmart FY2025: $6.3B).</t>
  </si>
  <si>
    <t>Total debt (formula – see debt build below)</t>
  </si>
  <si>
    <t>Policy: config/debt_policy.yaml (ASC 842)</t>
  </si>
  <si>
    <t>Walmart reports short-term borrowings, LTD due within one year, LTD, and finance (pre-2019: capital) lease obligations as separate balance-sheet lines.</t>
  </si>
  <si>
    <t xml:space="preserve">    Short-term borrowings</t>
  </si>
  <si>
    <t>ShortTermBorrowings</t>
  </si>
  <si>
    <t>Debt component.</t>
  </si>
  <si>
    <t xml:space="preserve">    Long-term debt – due within one year</t>
  </si>
  <si>
    <t>LongTermDebtCurrent</t>
  </si>
  <si>
    <t xml:space="preserve">    Long-term debt – non-current</t>
  </si>
  <si>
    <t>LongTermDebtNoncurrent</t>
  </si>
  <si>
    <t xml:space="preserve">    Finance / capital lease liability – current</t>
  </si>
  <si>
    <t>CapitalLeaseObligationsCurrent; FinanceLeaseLiabilityCurrent</t>
  </si>
  <si>
    <t xml:space="preserve">    Finance / capital lease liability – non-current</t>
  </si>
  <si>
    <t>CapitalLeaseObligationsNoncurrent; FinanceLeaseLiabilityNoncurrent</t>
  </si>
  <si>
    <t xml:space="preserve">    Finance lease liability – total (years not split on the balance sheet)</t>
  </si>
  <si>
    <t>CapitalLeaseObligations; FinanceLeaseLiability</t>
  </si>
  <si>
    <t>Operating income (memo)</t>
  </si>
  <si>
    <t>OperatingIncomeLoss</t>
  </si>
  <si>
    <t>Memo item – not used in the five core ratios except where stated.</t>
  </si>
  <si>
    <t>Operating lease liability (ASC 842; excluded from Total debt) (memo)</t>
  </si>
  <si>
    <t>OperatingLeaseLiability; OperatingLeaseLiabilityNoncurrent</t>
  </si>
  <si>
    <t>n/a</t>
  </si>
  <si>
    <t>Total assets (memo)</t>
  </si>
  <si>
    <t>Assets</t>
  </si>
  <si>
    <t>Inventory (memo)</t>
  </si>
  <si>
    <t>InventoryNet</t>
  </si>
  <si>
    <t>Costco — Costco Wholesale Corporation, CIK 909832</t>
  </si>
  <si>
    <t>Sunday nearest August 31</t>
  </si>
  <si>
    <t>us-gaap:RevenueFromContractWithCustomerExcludingAssessedTax; us-gaap:SalesRevenueNet</t>
  </si>
  <si>
    <t>10-K XBRL via SEC companyfacts API; latest-filed (restated) value. NET SALES (merchandise), excluding membership fees - ProductOrServiceAxis = ProductMember from FY2018 (parsed from the XBRL instance), SalesRevenueNet before ASC 606. Total revenue is shown as a memo row.</t>
  </si>
  <si>
    <t>CostOfGoodsAndServicesSold; CostOfGoodsSold</t>
  </si>
  <si>
    <t>Costco has no short-term borrowings line. Finance leases sit inside 'other current' / 'other long-term liabilities' and are disclosed in the Leases note. finance_lease_total is used only in years where current/non-current are not separately tagged (FY2021-FY2023); the workbook formula takes current+non-current if present, else total.</t>
  </si>
  <si>
    <t>Debt component. FY2019: instance – Tagged in the FY2019 10-K XBRL instance (cost-20190901.xml, context FI2019Q4) but absent from the companyfacts API; ASC 840 capital lease, pre-842 adoption.</t>
  </si>
  <si>
    <t>Debt component. FY2019: instance – Tagged in the FY2019 10-K XBRL instance (cost-20190901.xml, context FI2019Q4) but absent from the companyfacts API; ties to CapitalLeasesFutureMinimumPaymentsPresentValueOfNetMinimumPayments 421M.</t>
  </si>
  <si>
    <t>FinanceLeaseLiability; FinanceLeaseLiabilityPaymentsDue - FinanceLeaseLiabilityUndiscountedExcessAmount</t>
  </si>
  <si>
    <t>Debt component. FY2022: derived – Finance lease liability not tagged as a balance; derived as undiscounted payments less imputed interest (both us-gaap tagged, Leases note). Costco carries finance leases inside other current / other long-term liabilities. FY2023: derived – Same derivation as FY2022; ties to cost:OperatingLeaseandFinanceLeaseLiabilities 4078M less OperatingLeaseLiability 2646M = 1432M in the same filing.</t>
  </si>
  <si>
    <t>LIFO reserve (where disclosed) (memo)</t>
  </si>
  <si>
    <t>InventoryLIFOReserve</t>
  </si>
  <si>
    <t>Total revenue incl. membership fees (memo)</t>
  </si>
  <si>
    <t>RevenueFromContractWithCustomerExcludingAssessedTax; Revenues</t>
  </si>
  <si>
    <t>Costco's income-statement total ('Total revenue'). Net sales above exclude membership fees so the revenue basis matches Walmart and Sam's Club.</t>
  </si>
  <si>
    <t>Membership fee revenue = total revenue - net sales (memo, formula)</t>
  </si>
  <si>
    <t>Formula</t>
  </si>
  <si>
    <t>Ties to the MembershipMember disaggregated-revenue fact (FY2025: $5,323M, see Supporting facts). Carries no cost of sales; falls straight to operating income.</t>
  </si>
  <si>
    <t>Kroger — The Kroger Co., CIK 56873</t>
  </si>
  <si>
    <t>Saturday nearest January 31</t>
  </si>
  <si>
    <t>RevenueFromContractWithCustomerExcludingAssessedTax; SalesRevenueGoodsNet</t>
  </si>
  <si>
    <t>CostOfGoodsAndServiceExcludingDepreciationDepletionAndAmortization; CostOfGoodsSold; CostOfGoodsSoldExcludingDepreciationDepletionAndAmortization</t>
  </si>
  <si>
    <t>Kroger has no short-term borrowings line; commercial paper is inside current LTD. FY2016-FY2018: the combined 'long-term debt including obligations under capital leases' lines are used (they tie to LTD + capital leases exactly). FY2019+: LTD lines plus finance lease lines.</t>
  </si>
  <si>
    <t>FinanceLeaseLiabilityCurrent</t>
  </si>
  <si>
    <t>FinanceLeaseLiabilityNoncurrent</t>
  </si>
  <si>
    <t>FinanceLeaseLiability</t>
  </si>
  <si>
    <t xml:space="preserve">    Long-term debt incl. finance leases – current (combined line)</t>
  </si>
  <si>
    <t>LongTermDebtAndCapitalLeaseObligationsCurrent</t>
  </si>
  <si>
    <t xml:space="preserve">    Long-term debt incl. finance leases – non-current (combined line)</t>
  </si>
  <si>
    <t>LongTermDebtAndCapitalLeaseObligations</t>
  </si>
  <si>
    <t>OperatingLeaseLiability</t>
  </si>
  <si>
    <t>Sam's Club — Walmart reportable segment (ASC 280); no balance sheet or net income at segment level</t>
  </si>
  <si>
    <t>per Walmart</t>
  </si>
  <si>
    <t>Walmart 10-K segment note (ASC 280), StatementBusinessSegmentsAxis = SamsClubUSMember; parsed from the XBRL instance.</t>
  </si>
  <si>
    <t>us-gaap:CostOfRevenue</t>
  </si>
  <si>
    <t>Walmart 10-K segment note (ASC 280), StatementBusinessSegmentsAxis = SamsClubUSMember; parsed from the XBRL instance. Segment cost of revenue first disclosed in the FY2024 10-K under ASU 2023-07 (three comparative years).</t>
  </si>
  <si>
    <t>—</t>
  </si>
  <si>
    <t>Walmart 10-K segment note (ASC 280), StatementBusinessSegmentsAxis = SamsClubUSMember; parsed from the XBRL instance. Not reported at segment level under ASC 280.Attributable to the parent (NetIncomeLoss).</t>
  </si>
  <si>
    <t>Walmart 10-K segment note (ASC 280), StatementBusinessSegmentsAxis = SamsClubUSMember; parsed from the XBRL instance. Not reported at segment level under ASC 280.</t>
  </si>
  <si>
    <t>Segment (ASC 280) - no balance sheet is reported for Sam's Club; debt ratios not computable.</t>
  </si>
  <si>
    <t>us-gaap:OperatingIncomeLoss</t>
  </si>
  <si>
    <t>us-gaap:Assets</t>
  </si>
  <si>
    <t>Whole Foods — standalone 10-Ks through FY2017; acquired by Amazon.com 2017-08-28</t>
  </si>
  <si>
    <t>Last Sunday in September</t>
  </si>
  <si>
    <t>SalesRevenueNet</t>
  </si>
  <si>
    <t>Whole Foods 10-K XBRL (CIK 865436). No filings after FY2017.</t>
  </si>
  <si>
    <t>SalesRevenueNet - GrossProfit</t>
  </si>
  <si>
    <t>Whole Foods 10-K XBRL (CIK 865436). No filings after FY2017. Whole Foods' line is 'Cost of goods sold and occupancy costs' – includes rent; gross margin not directly comparable. FY2015: derived – COGS = 15,389 - 5,416 = 9,973. Includes occupancy costs (see Methodology). Base year only. FY2016: derived – Whole Foods tagged Sales and Gross Profit but not its 'Cost of goods sold and occupancy costs' line; COGS = 15,724 - 5,411 = 10,313. Includes occupancy costs (see Methodology). FY2017: derived – COGS = 16,030 - 5,397 = 10,633. NOTE: Whole Foods' cost line includes occupancy costs, which depresses gross margin vs peers; flagged on Methodology tab.</t>
  </si>
  <si>
    <t>Whole Foods 10-K XBRL (CIK 865436). No filings after FY2017. Attributable to the parent (NetIncomeLoss).</t>
  </si>
  <si>
    <t>StockholdersEquity</t>
  </si>
  <si>
    <t>Whole Foods reported 'long-term debt and capital lease obligations' as combined lines; FY2016-FY2017 only.</t>
  </si>
  <si>
    <t>CapitalLeaseObligationsCurrent</t>
  </si>
  <si>
    <t>CapitalLeaseObligationsNoncurrent</t>
  </si>
  <si>
    <t>CapitalLeaseObligations</t>
  </si>
  <si>
    <t>Successor: Amazon.com 'Physical stores' net sales (memo)</t>
  </si>
  <si>
    <t>RevenueFromContractWithCustomerExcludingAssessedTax [ProductOrServiceAxis = PhysicalStoresMember]</t>
  </si>
  <si>
    <t>Amazon 10-K, Note – Segment Information / disaggregated revenue (ASC 606). Mostly Whole Foods Market; also Amazon Fresh and Amazon Go. Revenue only – no cost or balance-sheet data exists for Whole Foods after FY2017.</t>
  </si>
  <si>
    <t>Supporting facts cited in the Executive Summary (USD millions unless stated)</t>
  </si>
  <si>
    <t>Fact</t>
  </si>
  <si>
    <t>XBRL tag</t>
  </si>
  <si>
    <t>Fiscal year</t>
  </si>
  <si>
    <t>Value</t>
  </si>
  <si>
    <t>Accession no.</t>
  </si>
  <si>
    <t>Filed</t>
  </si>
  <si>
    <t>Kroger – Proceeds from issuance of long-term debt</t>
  </si>
  <si>
    <t>ProceedsFromIssuanceOfLongTermDebt</t>
  </si>
  <si>
    <t>0001104659-26-037723</t>
  </si>
  <si>
    <t>2026-03-31</t>
  </si>
  <si>
    <t>Kroger – Share repurchases</t>
  </si>
  <si>
    <t>PaymentsForRepurchaseOfCommonStock</t>
  </si>
  <si>
    <t>Kroger – Restructuring and asset impairment charges</t>
  </si>
  <si>
    <t>RestructuringCostsAndAssetImpairmentCharges</t>
  </si>
  <si>
    <t>Kroger – LIFO reserve</t>
  </si>
  <si>
    <t>0001558370-18-003055</t>
  </si>
  <si>
    <t>2018-04-18</t>
  </si>
  <si>
    <t>Walmart – Noncontrolling interest (in total equity)</t>
  </si>
  <si>
    <t>MinorityInterest</t>
  </si>
  <si>
    <t>0000104169-26-000055</t>
  </si>
  <si>
    <t>2026-03-13</t>
  </si>
  <si>
    <t>Costco – Membership fee revenue (included in total revenue)</t>
  </si>
  <si>
    <t>RevenueFromContractWithCustomerExcludingAssessedTax [srt:ProductOrServiceAxis=us-gaap:MembershipMember]</t>
  </si>
  <si>
    <t>0000909832-25-000101</t>
  </si>
  <si>
    <t>2025-10-08</t>
  </si>
  <si>
    <t>Legend: blue = SEC input · black bold = formula · shaded yellow = value taken from the XBRL instance document or derived from two tagged facts (see note) · grey band = debt-build components · 'n/a' = not reported.</t>
  </si>
  <si>
    <t>04   —   RATIO CALCULATIONS</t>
  </si>
  <si>
    <t>Live formulas over named ranges: every cell is =IFERROR( … XLOOKUP(year, Years, Company_Metric) … , "n/a"). Nothing is typed in. Δ columns are percentage-point (margins, growth) or turns (ratios) changes.</t>
  </si>
  <si>
    <t>Company</t>
  </si>
  <si>
    <t>Δ FY16→FY25</t>
  </si>
  <si>
    <t>Δ FY19→FY23</t>
  </si>
  <si>
    <t>Formula (FY2025 cell shown)</t>
  </si>
  <si>
    <t>Gross profit margin   —   (Revenue − Cost of sales) / Revenue</t>
  </si>
  <si>
    <t>Walmart</t>
  </si>
  <si>
    <t>Costco</t>
  </si>
  <si>
    <t>Kroger</t>
  </si>
  <si>
    <t>Sam's Club</t>
  </si>
  <si>
    <t>Whole Foods</t>
  </si>
  <si>
    <t>Operating margin (supplementary)   —   Operating income / Revenue – separates gross-margin pressure from SG&amp;A</t>
  </si>
  <si>
    <t>Net profit margin   —   Net income / Revenue</t>
  </si>
  <si>
    <t>Current ratio   —   Current assets / Current liabilities</t>
  </si>
  <si>
    <t>Debt-to-equity   —   Total debt / Total equity (finance leases in, operating leases out – ASC 842 policy)</t>
  </si>
  <si>
    <t>Debt-to-equity incl. operating leases (supplementary)   —   (Total debt + Operating lease liability) / Total equity – lease-adjusted view from FY2019</t>
  </si>
  <si>
    <t>Revenue growth YoY   —   Revenue / prior-year revenue − 1 (FY2015 base year on Raw Data)</t>
  </si>
  <si>
    <t>Whole Foods (Amazon 'Physical stores', successor)</t>
  </si>
  <si>
    <t>Sam's Club: no balance sheet or net income at segment level, so current ratio, debt-to-equity and net margin are n/a by construction. Whole Foods: standalone data ends FY2017; the successor growth row uses Amazon's 'Physical stores' line (mostly, not only, Whole Foods).</t>
  </si>
  <si>
    <t>05   —   SCORECARD</t>
  </si>
  <si>
    <t>Direction-aware ranks and colour scales (green = strongest) · change the year to re-rank</t>
  </si>
  <si>
    <t>Scorecard year (input)</t>
  </si>
  <si>
    <t>← any year FY2016–FY2025</t>
  </si>
  <si>
    <t>Metric</t>
  </si>
  <si>
    <t>Better is</t>
  </si>
  <si>
    <t>Leader</t>
  </si>
  <si>
    <t>Laggard</t>
  </si>
  <si>
    <t>Takeaway</t>
  </si>
  <si>
    <t>Gross profit margin</t>
  </si>
  <si>
    <t>Higher</t>
  </si>
  <si>
    <t xml:space="preserve">   rank (of companies with data)</t>
  </si>
  <si>
    <t>Operating margin</t>
  </si>
  <si>
    <t>Net profit margin</t>
  </si>
  <si>
    <t>Current ratio</t>
  </si>
  <si>
    <t>Debt-to-equity</t>
  </si>
  <si>
    <t>Lower</t>
  </si>
  <si>
    <t>Revenue growth YoY</t>
  </si>
  <si>
    <t>Composite rank (average of five core ranks)</t>
  </si>
  <si>
    <t>Computed only for the three full filers, which have all five core metrics. Sam's Club and Whole Foods lack the balance-sheet metrics and are not ranked.</t>
  </si>
  <si>
    <t>Sam's Club: net margin, current ratio and debt-to-equity are n/a (segment reporting). Whole Foods: n/a after FY2017 (acquired). Operating margin is supplementary and excluded from the composite.</t>
  </si>
  <si>
    <t>06   —   TREND</t>
  </si>
  <si>
    <t>FY2016–FY2025. Shaded band = FY2020–FY2023 (COVID-19 and the inflation spike). Gaps = data not available (Sam's Club balance sheet, Whole Foods after FY2017); charts read the helper block via NA() so missing years are skipped, never plotted as zero.</t>
  </si>
  <si>
    <t>Chart helper block (formulas; do not edit): =IF(ISNUMBER(ratio), ratio, NA()) — one row per series, plus the shaded-window series</t>
  </si>
  <si>
    <t>Series</t>
  </si>
  <si>
    <t>FY2016</t>
  </si>
  <si>
    <t>FY2017</t>
  </si>
  <si>
    <t>FY2018</t>
  </si>
  <si>
    <t>FY2019</t>
  </si>
  <si>
    <t>FY2020</t>
  </si>
  <si>
    <t>FY2021</t>
  </si>
  <si>
    <t>FY2022</t>
  </si>
  <si>
    <t>FY2023</t>
  </si>
  <si>
    <t>FY2024</t>
  </si>
  <si>
    <t>FY2025</t>
  </si>
  <si>
    <t>FY2020–23 window</t>
  </si>
  <si>
    <t>07   —   METHODOLOGY &amp; TOOLS</t>
  </si>
  <si>
    <t>How the workbook was built, what was assumed, and where accounting policy limits comparability.</t>
  </si>
  <si>
    <t>DATA SOURCES</t>
  </si>
  <si>
    <t>SEC EDGAR</t>
  </si>
  <si>
    <t>Primary source for every number. Three endpoints: (1) the XBRL companyfacts API (data.sec.gov/api/xbrl/companyfacts) for undimensioned 10-K facts; (2) the filing index and XBRL instance documents under sec.gov/Archives for dimensional facts (segments, product lines) and for values the API omits; (3) the submissions API for the 10-K filing list. Access follows the SEC fair-use rules: declared User-Agent, ≤5 requests/second, every download cached and logged to data/raw/manifest.csv.</t>
  </si>
  <si>
    <t>Companies / CIKs</t>
  </si>
  <si>
    <t>Walmart Inc. 104169 · Costco Wholesale Corp. 909832 · The Kroger Co. 56873 · Whole Foods Market, Inc. 865436 (through FY2017) · Amazon.com, Inc. 1018724 (successor, 'Physical stores' revenue only) · Sam's Club = Walmart segment (no CIK).</t>
  </si>
  <si>
    <t>Value selection</t>
  </si>
  <si>
    <t>Fiscal-year label follows the SEC frame convention (the calendar year containing most of the period). Flow items use 10-K facts spanning 340–380 days (53-week years qualify); balance-sheet items match the period-end date. Where a period is re-tagged in later filings as a comparative, the latest-filed (restated) value is used and the first-filed value is retained on Data Lineage with a restatement flag. Values the API could not supply (7 of 900+) were read from the filing's XBRL instance or derived from two tagged facts, each with its own citation, and are shaded yellow on Raw Data. No value is estimated.</t>
  </si>
  <si>
    <t>EXCEL TECHNIQUES</t>
  </si>
  <si>
    <t>Named ranges</t>
  </si>
  <si>
    <t>103 defined names (e.g. Walmart_Revenue, Kroger_TotalDebt, GM_Costco, ScorecardYear, Years, RatioYears). Every cross-tab formula reads as a sentence and survives row insertions.</t>
  </si>
  <si>
    <t>XLOOKUP + IFERROR</t>
  </si>
  <si>
    <t>All ratio cells: =IFERROR((XLOOKUP(year,Years,Company_Revenue)-XLOOKUP(year,Years,Company_COGS))/XLOOKUP(year,Years,Company_Revenue),"n/a"). Missing data returns the text n/a rather than #DIV/0! or #VALUE!, and is styled grey-italic by conditional formatting.</t>
  </si>
  <si>
    <t>Formula-built totals</t>
  </si>
  <si>
    <t>Total debt is a formula over the extracted components under a written policy (below), not a typed number; the Scorecard leader/laggard and takeaway text are built with INDEX/MATCH, RANK.EQ and TEXT so they re-write when the year input changes.</t>
  </si>
  <si>
    <t>Scorecard year input</t>
  </si>
  <si>
    <t>Data-validated list (FY2016–FY2025) driving XLOOKUPs on the Scorecard and the at-a-glance figures; ranks and colour scales recompute.</t>
  </si>
  <si>
    <t>Conditional formatting</t>
  </si>
  <si>
    <t>Three-colour scales per metric row (direction-aware: low debt-to-equity is green), text-detection rules for n/a, and a reversed scale on the composite rank.</t>
  </si>
  <si>
    <t>Native combo charts</t>
  </si>
  <si>
    <t>Each Trend chart is an Excel column+line combination: a zero-gap column series on a hidden secondary axis shades FY2020–FY2023; ratio lines sit on top. The helper block converts n/a to NA() so Excel draws gaps rather than zeros.</t>
  </si>
  <si>
    <t>Model conventions</t>
  </si>
  <si>
    <t>Blue font = hard-coded SEC input; black = formula; yellow shading = instance/derived value; grey band = debt components; freeze panes, print titles, fit-to-width and footers on every tab; document properties set.</t>
  </si>
  <si>
    <t>Verification</t>
  </si>
  <si>
    <t>948 formulas written; the workbook is recalculated in Excel via COM after the build and scanned for error values (#REF!, #DIV/0!, #NAME?, #VALUE!) – the only #N/A values are the intentional NA() chart gaps. Extraction is covered by 12 pytest checks (coverage, accounting identities, derivation tie-outs, segment sanity).</t>
  </si>
  <si>
    <t>ACCOUNTING POLICY &amp; COMPARABILITY</t>
  </si>
  <si>
    <t>Revenue (ASC 606)</t>
  </si>
  <si>
    <t>Revenue = net sales per the income statement. Tag names changed at ASC 606 adoption (SalesRevenueNet / SalesRevenueGoodsNet → RevenueFromContractWithCustomerExcludingAssessedTax), so tags are tried in a per-company priority list held in config/companies.yaml. Costco reports 'Total revenue' = net sales + membership fees; this workbook uses NET SALES (the ProductMember disaggregated-revenue fact, SalesRevenueNet before 2018) so Costco's basis matches Walmart's and Sam's Club's net sales, which also exclude membership income. Membership fees ($5.3B FY2025) are a memo row: they carry no cost of sales, so on a total-revenue basis Costco's gross margin would read about two points higher.</t>
  </si>
  <si>
    <t>Leases (ASC 842)</t>
  </si>
  <si>
    <t>Adopted FY2019 (Costco FY2020). Operating lease liabilities are EXCLUDED from Total debt – including them would create a step-up in FY2019 with no financing event – and shown as a memo line and in the supplementary lease-inclusive debt-to-equity. Finance/capital leases are INCLUDED throughout because they were liabilities under ASC 840 too. Policy per company in config/debt_policy.yaml.</t>
  </si>
  <si>
    <t>Segments (ASC 280 / ASU 2023-07)</t>
  </si>
  <si>
    <t>Sam's Club figures are Walmart's reportable-segment disclosures (StatementBusinessSegmentsAxis = SamsClubUSMember, renamed from SamsClubMember in the FY2024 10-K). ASU 2023-07 required significant segment expenses from FY2024, which is why cost of revenue – and so gross margin – exists for FY2022–FY2025 only. Amazon's 'Physical stores' line is a disaggregated-revenue disclosure, not a segment, and includes more than Whole Foods.</t>
  </si>
  <si>
    <t>Inventory (LIFO vs FIFO)</t>
  </si>
  <si>
    <t>Walmart U.S. (retail method, LIFO), Sam's Club (weighted-average, LIFO), Costco U.S. (LIFO), Kroger (~91% LIFO, link-chain dollar-value) and Whole Foods (LIFO) all report cost of sales after a LIFO charge in inflationary years; Costco Canada and Walmart International are FIFO. In 2021–2023 LIFO raised reported cost of sales and depressed gross margin and inventory for the LIFO filers – Kroger's reserve grew from $1.3B (FY2016) to $2.6B (FY2025) and its LIFO charge was $157M in FY2025; Costco's FY2022 LIFO charge cost 19 bp of gross margin (~$0.4B), FY2023–FY2024 were immaterial, FY2025 7 bp. Effects: (a) gross margins for FY2021–FY2023 are understated relative to a FIFO basis, more so for Kroger; (b) current assets and therefore the current ratio are understated for LIFO filers; (c) only Kroger discloses a reserve balance – Walmart stated that LIFO approximated FIFO through January 2022 (FY2021) and has given only sensitivity language since; Costco discloses the annual charge but no reserve balance. Ratios are presented as reported and trends, rather than levels, are emphasised in the findings.</t>
  </si>
  <si>
    <t>Equity and net income</t>
  </si>
  <si>
    <t>Total equity includes noncontrolling interests (Walmart $6.3B FY2025); net income is the amount attributable to the parent. Debt-to-equity on a parent-only equity basis would be marginally higher for Walmart; no other company has material NCI.</t>
  </si>
  <si>
    <t>Whole Foods cost line</t>
  </si>
  <si>
    <t>'Cost of goods sold and occupancy costs' includes store rent, so its gross margin is structurally lower than a pure merchandise margin and is not compared against peers on level – only its own two-year trend is used.</t>
  </si>
  <si>
    <t>53-week years</t>
  </si>
  <si>
    <t>Costco and Kroger FY2023 had 53 weeks; growth in FY2023 is overstated and FY2024 understated by about 2 points. Walmart's January 31 year-end is fixed (no 53-week years).</t>
  </si>
  <si>
    <t>ASSUMPTIONS &amp; LIMITS</t>
  </si>
  <si>
    <t>Assumptions</t>
  </si>
  <si>
    <t>Latest-filed values are the best available (restatements are accepted); segment operating income is comparable to consolidated operating income for margin purposes; Amazon 'Physical stores' is used as a revenue proxy for Whole Foods and labelled as such.</t>
  </si>
  <si>
    <t>Out of scope</t>
  </si>
  <si>
    <t>FIFO restatement of LIFO filers; adjustments for 53-week years; currency effects in Walmart International and Costco's non-U.S. operations; pro-forma treatment of Kroger's terminated Albertsons merger.</t>
  </si>
  <si>
    <t>TOOLS</t>
  </si>
  <si>
    <t>Pipeline</t>
  </si>
  <si>
    <t>Python 3 · requests (EDGAR) · lxml (XBRL instance parsing) · pandas (tidy tables) · PyYAML (company register and debt policy) · openpyxl (workbook generation) · pywin32 (Excel recalculation and error scan) · pytest · Git. Re-running src/pull_data.py, src/pull_segments.py and src/build_workbook.py regenerates this file from EDGAR end-to-end.</t>
  </si>
  <si>
    <t>Author</t>
  </si>
  <si>
    <t>Ryan Barry – personal portfolio project, September 2026. Public filings only; not an H-E-B work product.</t>
  </si>
  <si>
    <t>08   —   DATA LINEAGE</t>
  </si>
  <si>
    <t>Every input value with its SEC citation – one row per value on Raw Data. 'Restated' = the latest-filed value differs from the first-filed value; both are shown. Links open the filing index on sec.gov.</t>
  </si>
  <si>
    <t>Period start</t>
  </si>
  <si>
    <t>Period end</t>
  </si>
  <si>
    <t>Value (USD)</t>
  </si>
  <si>
    <t>XBRL tag / basis</t>
  </si>
  <si>
    <t>Dimension</t>
  </si>
  <si>
    <t>Restated</t>
  </si>
  <si>
    <t>First-filed value</t>
  </si>
  <si>
    <t>First filed</t>
  </si>
  <si>
    <t>Versions</t>
  </si>
  <si>
    <t>Note</t>
  </si>
  <si>
    <t>EDGAR link</t>
  </si>
  <si>
    <t>AMZN→WFM</t>
  </si>
  <si>
    <t>2016-01-01</t>
  </si>
  <si>
    <t>2016-12-31</t>
  </si>
  <si>
    <t>us-gaap:RevenueFromContractWithCustomerExcludingAssessedTax</t>
  </si>
  <si>
    <t>srt:ProductOrServiceAxis = amzn:PhysicalStoresMember</t>
  </si>
  <si>
    <t>0001018724-19-000004</t>
  </si>
  <si>
    <t>2019-02-01</t>
  </si>
  <si>
    <t>ok</t>
  </si>
  <si>
    <t>Dimensional fact parsed from the 10-K XBRL instance (amzn-20181231.xml)</t>
  </si>
  <si>
    <t>https://www.sec.gov/Archives/edgar/data/1018724/000101872419000004/</t>
  </si>
  <si>
    <t>2017-01-01</t>
  </si>
  <si>
    <t>2017-12-31</t>
  </si>
  <si>
    <t>0001018724-20-000004</t>
  </si>
  <si>
    <t>2020-01-31</t>
  </si>
  <si>
    <t>Dimensional fact parsed from the 10-K XBRL instance (amzn-20191231x10k_htm.xml)</t>
  </si>
  <si>
    <t>https://www.sec.gov/Archives/edgar/data/1018724/000101872420000004/</t>
  </si>
  <si>
    <t>2018-01-01</t>
  </si>
  <si>
    <t>2018-12-31</t>
  </si>
  <si>
    <t>0001018724-21-000004</t>
  </si>
  <si>
    <t>2021-02-03</t>
  </si>
  <si>
    <t>Dimensional fact parsed from the 10-K XBRL instance (amzn-20201231_htm.xml)</t>
  </si>
  <si>
    <t>https://www.sec.gov/Archives/edgar/data/1018724/000101872421000004/</t>
  </si>
  <si>
    <t>2019-01-01</t>
  </si>
  <si>
    <t>2019-12-31</t>
  </si>
  <si>
    <t>0001018724-22-000005</t>
  </si>
  <si>
    <t>2022-02-04</t>
  </si>
  <si>
    <t>Dimensional fact parsed from the 10-K XBRL instance (amzn-20211231_htm.xml)</t>
  </si>
  <si>
    <t>https://www.sec.gov/Archives/edgar/data/1018724/000101872422000005/</t>
  </si>
  <si>
    <t>2020-01-01</t>
  </si>
  <si>
    <t>2020-12-31</t>
  </si>
  <si>
    <t>0001018724-23-000004</t>
  </si>
  <si>
    <t>2023-02-03</t>
  </si>
  <si>
    <t>Dimensional fact parsed from the 10-K XBRL instance (amzn-20221231_htm.xml)</t>
  </si>
  <si>
    <t>https://www.sec.gov/Archives/edgar/data/1018724/000101872423000004/</t>
  </si>
  <si>
    <t>2021-01-01</t>
  </si>
  <si>
    <t>2021-12-31</t>
  </si>
  <si>
    <t>0001018724-24-000008</t>
  </si>
  <si>
    <t>2024-02-02</t>
  </si>
  <si>
    <t>Dimensional fact parsed from the 10-K XBRL instance (amzn-20231231_htm.xml)</t>
  </si>
  <si>
    <t>https://www.sec.gov/Archives/edgar/data/1018724/000101872424000008/</t>
  </si>
  <si>
    <t>2022-01-01</t>
  </si>
  <si>
    <t>2022-12-31</t>
  </si>
  <si>
    <t>0001018724-25-000004</t>
  </si>
  <si>
    <t>2025-02-07</t>
  </si>
  <si>
    <t>Dimensional fact parsed from the 10-K XBRL instance (amzn-20241231_htm.xml)</t>
  </si>
  <si>
    <t>https://www.sec.gov/Archives/edgar/data/1018724/000101872425000004/</t>
  </si>
  <si>
    <t>2023-01-01</t>
  </si>
  <si>
    <t>2023-12-31</t>
  </si>
  <si>
    <t>0001018724-26-000004</t>
  </si>
  <si>
    <t>2026-02-06</t>
  </si>
  <si>
    <t>Dimensional fact parsed from the 10-K XBRL instance (amzn-20251231_htm.xml)</t>
  </si>
  <si>
    <t>https://www.sec.gov/Archives/edgar/data/1018724/000101872426000004/</t>
  </si>
  <si>
    <t>2024-01-01</t>
  </si>
  <si>
    <t>2024-12-31</t>
  </si>
  <si>
    <t>2025-01-01</t>
  </si>
  <si>
    <t>2025-12-31</t>
  </si>
  <si>
    <t>2014-09-01</t>
  </si>
  <si>
    <t>2015-08-30</t>
  </si>
  <si>
    <t>CostOfGoodsSold</t>
  </si>
  <si>
    <t>0000909832-17-000014</t>
  </si>
  <si>
    <t>2017-10-18</t>
  </si>
  <si>
    <t>2015-10-14</t>
  </si>
  <si>
    <t>https://www.sec.gov/Archives/edgar/data/909832/000090983217000014/</t>
  </si>
  <si>
    <t>2015-08-31</t>
  </si>
  <si>
    <t>2016-08-28</t>
  </si>
  <si>
    <t>CostOfGoodsAndServicesSold</t>
  </si>
  <si>
    <t>0000909832-18-000013</t>
  </si>
  <si>
    <t>2018-10-26</t>
  </si>
  <si>
    <t>https://www.sec.gov/Archives/edgar/data/909832/000090983218000013/</t>
  </si>
  <si>
    <t>2016-08-29</t>
  </si>
  <si>
    <t>2017-09-03</t>
  </si>
  <si>
    <t>2017-09-04</t>
  </si>
  <si>
    <t>2018-09-02</t>
  </si>
  <si>
    <t>0000909832-20-000017</t>
  </si>
  <si>
    <t>2020-10-07</t>
  </si>
  <si>
    <t>https://www.sec.gov/Archives/edgar/data/909832/000090983220000017/</t>
  </si>
  <si>
    <t>2018-09-03</t>
  </si>
  <si>
    <t>2019-09-01</t>
  </si>
  <si>
    <t>0000909832-21-000014</t>
  </si>
  <si>
    <t>2021-10-06</t>
  </si>
  <si>
    <t>https://www.sec.gov/Archives/edgar/data/909832/000090983221000014/</t>
  </si>
  <si>
    <t>2019-09-02</t>
  </si>
  <si>
    <t>2020-08-30</t>
  </si>
  <si>
    <t>0000909832-22-000021</t>
  </si>
  <si>
    <t>2022-10-05</t>
  </si>
  <si>
    <t>https://www.sec.gov/Archives/edgar/data/909832/000090983222000021/</t>
  </si>
  <si>
    <t>2020-08-31</t>
  </si>
  <si>
    <t>2021-08-29</t>
  </si>
  <si>
    <t>0000909832-23-000042</t>
  </si>
  <si>
    <t>2023-10-11</t>
  </si>
  <si>
    <t>https://www.sec.gov/Archives/edgar/data/909832/000090983223000042/</t>
  </si>
  <si>
    <t>2021-08-30</t>
  </si>
  <si>
    <t>2022-08-28</t>
  </si>
  <si>
    <t>0000909832-24-000049</t>
  </si>
  <si>
    <t>2024-10-09</t>
  </si>
  <si>
    <t>https://www.sec.gov/Archives/edgar/data/909832/000090983224000049/</t>
  </si>
  <si>
    <t>2022-08-29</t>
  </si>
  <si>
    <t>2023-09-03</t>
  </si>
  <si>
    <t>https://www.sec.gov/Archives/edgar/data/909832/000090983225000101/</t>
  </si>
  <si>
    <t>2023-09-04</t>
  </si>
  <si>
    <t>2024-09-01</t>
  </si>
  <si>
    <t>2024-09-02</t>
  </si>
  <si>
    <t>2025-08-31</t>
  </si>
  <si>
    <t>0000909832-16-000032</t>
  </si>
  <si>
    <t>2016-10-12</t>
  </si>
  <si>
    <t>yes</t>
  </si>
  <si>
    <t>https://www.sec.gov/Archives/edgar/data/909832/000090983216000032/</t>
  </si>
  <si>
    <t>Stockholders' equity – parent only (reference)</t>
  </si>
  <si>
    <t>Finance / capital lease liability – current</t>
  </si>
  <si>
    <t>0000909832-15-000014</t>
  </si>
  <si>
    <t>https://www.sec.gov/Archives/edgar/data/909832/000090983215000014/</t>
  </si>
  <si>
    <t>0000909832-19-000019</t>
  </si>
  <si>
    <t>2019-10-11</t>
  </si>
  <si>
    <t>instance</t>
  </si>
  <si>
    <t>Tagged in the FY2019 10-K XBRL instance (cost-20190901.xml, context FI2019Q4) but absent from the companyfacts API; ASC 840 capital lease, pre-842 adoption.</t>
  </si>
  <si>
    <t>https://www.sec.gov/Archives/edgar/data/909832/000090983219000019/</t>
  </si>
  <si>
    <t>Finance / capital lease liability – non-current</t>
  </si>
  <si>
    <t>Tagged in the FY2019 10-K XBRL instance (cost-20190901.xml, context FI2019Q4) but absent from the companyfacts API; ties to CapitalLeasesFutureMinimumPaymentsPresentValueOfNetMinimumPayments 421M.</t>
  </si>
  <si>
    <t>Finance lease liability – total (years not split on the balance sheet)</t>
  </si>
  <si>
    <t>FinanceLeaseLiabilityPaymentsDue - FinanceLeaseLiabilityUndiscountedExcessAmount</t>
  </si>
  <si>
    <t>derived</t>
  </si>
  <si>
    <t>Finance lease liability not tagged as a balance; derived as undiscounted payments less imputed interest (both us-gaap tagged, Leases note). Costco carries finance leases inside other current / other long-term liabilities.</t>
  </si>
  <si>
    <t>Same derivation as FY2022; ties to cost:OperatingLeaseandFinanceLeaseLiabilities 4078M less OperatingLeaseLiability 2646M = 1432M in the same filing.</t>
  </si>
  <si>
    <t>Inventory</t>
  </si>
  <si>
    <t>LIFO reserve (where disclosed)</t>
  </si>
  <si>
    <t>Long-term debt – due within one year</t>
  </si>
  <si>
    <t>Long-term debt – non-current</t>
  </si>
  <si>
    <t>Revenue (net sales) - Costco</t>
  </si>
  <si>
    <t>us-gaap:SalesRevenueNet</t>
  </si>
  <si>
    <t>Dimensional fact parsed from the 10-K XBRL instance (cost-20170903.xml)</t>
  </si>
  <si>
    <t>srt:ProductOrServiceAxis = us-gaap:ProductMember</t>
  </si>
  <si>
    <t>Dimensional fact parsed from the 10-K XBRL instance (cost-20180902.xml)</t>
  </si>
  <si>
    <t>Dimensional fact parsed from the 10-K XBRL instance (cost-20190901.xml)</t>
  </si>
  <si>
    <t>Dimensional fact parsed from the 10-K XBRL instance (cost-20200830_htm.xml)</t>
  </si>
  <si>
    <t>Dimensional fact parsed from the 10-K XBRL instance (cost-20210829_htm.xml)</t>
  </si>
  <si>
    <t>Dimensional fact parsed from the 10-K XBRL instance (cost-20220828_htm.xml)</t>
  </si>
  <si>
    <t>Dimensional fact parsed from the 10-K XBRL instance (cost-20230903_htm.xml)</t>
  </si>
  <si>
    <t>Dimensional fact parsed from the 10-K XBRL instance (cost-20240901_htm.xml)</t>
  </si>
  <si>
    <t>Dimensional fact parsed from the 10-K XBRL instance (cost-20250831_htm.xml)</t>
  </si>
  <si>
    <t>Operating income</t>
  </si>
  <si>
    <t>Operating lease liability – current</t>
  </si>
  <si>
    <t>OperatingLeaseLiabilityCurrent</t>
  </si>
  <si>
    <t>Operating lease liability – non-current</t>
  </si>
  <si>
    <t>OperatingLeaseLiabilityNoncurrent</t>
  </si>
  <si>
    <t>Operating lease liability – total</t>
  </si>
  <si>
    <t>Total assets</t>
  </si>
  <si>
    <t>Total revenue incl. membership fees (reference)</t>
  </si>
  <si>
    <t>Revenues</t>
  </si>
  <si>
    <t>RevenueFromContractWithCustomerExcludingAssessedTax</t>
  </si>
  <si>
    <t>2015-02-01</t>
  </si>
  <si>
    <t>2016-01-30</t>
  </si>
  <si>
    <t>2016-03-29</t>
  </si>
  <si>
    <t>https://www.sec.gov/Archives/edgar/data/56873/000155837018003055/</t>
  </si>
  <si>
    <t>2016-01-31</t>
  </si>
  <si>
    <t>2017-01-28</t>
  </si>
  <si>
    <t>CostOfGoodsSoldExcludingDepreciationDepletionAndAmortization</t>
  </si>
  <si>
    <t>0001558370-19-002756</t>
  </si>
  <si>
    <t>2019-04-02</t>
  </si>
  <si>
    <t>https://www.sec.gov/Archives/edgar/data/56873/000155837019002756/</t>
  </si>
  <si>
    <t>2017-01-29</t>
  </si>
  <si>
    <t>2018-02-03</t>
  </si>
  <si>
    <t>CostOfGoodsAndServiceExcludingDepreciationDepletionAndAmortization</t>
  </si>
  <si>
    <t>0001558370-20-003501</t>
  </si>
  <si>
    <t>2020-04-01</t>
  </si>
  <si>
    <t>https://www.sec.gov/Archives/edgar/data/56873/000155837020003501/</t>
  </si>
  <si>
    <t>2018-02-04</t>
  </si>
  <si>
    <t>2019-02-02</t>
  </si>
  <si>
    <t>0001558370-21-003706</t>
  </si>
  <si>
    <t>2021-03-30</t>
  </si>
  <si>
    <t>https://www.sec.gov/Archives/edgar/data/56873/000155837021003706/</t>
  </si>
  <si>
    <t>2019-02-03</t>
  </si>
  <si>
    <t>2020-02-01</t>
  </si>
  <si>
    <t>0001558370-22-004595</t>
  </si>
  <si>
    <t>2022-03-29</t>
  </si>
  <si>
    <t>https://www.sec.gov/Archives/edgar/data/56873/000155837022004595/</t>
  </si>
  <si>
    <t>2020-02-02</t>
  </si>
  <si>
    <t>2021-01-30</t>
  </si>
  <si>
    <t>0001558370-23-004767</t>
  </si>
  <si>
    <t>2023-03-28</t>
  </si>
  <si>
    <t>https://www.sec.gov/Archives/edgar/data/56873/000155837023004767/</t>
  </si>
  <si>
    <t>2021-01-31</t>
  </si>
  <si>
    <t>2022-01-29</t>
  </si>
  <si>
    <t>0001558370-24-004603</t>
  </si>
  <si>
    <t>2024-04-02</t>
  </si>
  <si>
    <t>https://www.sec.gov/Archives/edgar/data/56873/000155837024004603/</t>
  </si>
  <si>
    <t>2022-01-30</t>
  </si>
  <si>
    <t>2023-01-28</t>
  </si>
  <si>
    <t>0001558370-25-004267</t>
  </si>
  <si>
    <t>2025-04-01</t>
  </si>
  <si>
    <t>https://www.sec.gov/Archives/edgar/data/56873/000155837025004267/</t>
  </si>
  <si>
    <t>2023-01-29</t>
  </si>
  <si>
    <t>2024-02-03</t>
  </si>
  <si>
    <t>https://www.sec.gov/Archives/edgar/data/56873/000110465926037723/</t>
  </si>
  <si>
    <t>2024-02-04</t>
  </si>
  <si>
    <t>2025-02-01</t>
  </si>
  <si>
    <t>2025-02-02</t>
  </si>
  <si>
    <t>2026-01-31</t>
  </si>
  <si>
    <t>0001558370-17-002198</t>
  </si>
  <si>
    <t>2017-03-28</t>
  </si>
  <si>
    <t>https://www.sec.gov/Archives/edgar/data/56873/000155837017002198/</t>
  </si>
  <si>
    <t>2018-04-03</t>
  </si>
  <si>
    <t>Long-term debt incl. finance leases – current (combined line)</t>
  </si>
  <si>
    <t>Long-term debt incl. finance leases – non-current (combined line)</t>
  </si>
  <si>
    <t>SalesRevenueGoodsNet</t>
  </si>
  <si>
    <t>2022-02-01</t>
  </si>
  <si>
    <t>2023-01-31</t>
  </si>
  <si>
    <t>us-gaap:StatementBusinessSegmentsAxis = wmt:SamsClubUSMember</t>
  </si>
  <si>
    <t>0000104169-25-000021</t>
  </si>
  <si>
    <t>2025-03-14</t>
  </si>
  <si>
    <t>Dimensional fact parsed from the 10-K XBRL instance (wmt-20250131_htm.xml)</t>
  </si>
  <si>
    <t>https://www.sec.gov/Archives/edgar/data/104169/000010416925000021/</t>
  </si>
  <si>
    <t>2023-02-01</t>
  </si>
  <si>
    <t>2024-01-31</t>
  </si>
  <si>
    <t>Dimensional fact parsed from the 10-K XBRL instance (wmt-20260131_htm.xml)</t>
  </si>
  <si>
    <t>https://www.sec.gov/Archives/edgar/data/104169/000010416926000055/</t>
  </si>
  <si>
    <t>2024-02-01</t>
  </si>
  <si>
    <t>2025-01-31</t>
  </si>
  <si>
    <t>us-gaap:StatementBusinessSegmentsAxis = wmt:SamsClubMember</t>
  </si>
  <si>
    <t>0000104169-18-000028</t>
  </si>
  <si>
    <t>2018-03-30</t>
  </si>
  <si>
    <t>2016-03-30</t>
  </si>
  <si>
    <t>Dimensional fact parsed from the 10-K XBRL instance (wmt-20180131.xml)</t>
  </si>
  <si>
    <t>https://www.sec.gov/Archives/edgar/data/104169/000010416918000028/</t>
  </si>
  <si>
    <t>2016-02-01</t>
  </si>
  <si>
    <t>2017-01-31</t>
  </si>
  <si>
    <t>0000104169-19-000016</t>
  </si>
  <si>
    <t>2019-03-28</t>
  </si>
  <si>
    <t>2017-03-31</t>
  </si>
  <si>
    <t>Dimensional fact parsed from the 10-K XBRL instance (wmt-20190131.xml)</t>
  </si>
  <si>
    <t>https://www.sec.gov/Archives/edgar/data/104169/000010416919000016/</t>
  </si>
  <si>
    <t>2017-02-01</t>
  </si>
  <si>
    <t>2018-01-31</t>
  </si>
  <si>
    <t>0000104169-20-000011</t>
  </si>
  <si>
    <t>2020-03-20</t>
  </si>
  <si>
    <t>Dimensional fact parsed from the 10-K XBRL instance (wmtform10-kx1312020_htm.xml)</t>
  </si>
  <si>
    <t>https://www.sec.gov/Archives/edgar/data/104169/000010416920000011/</t>
  </si>
  <si>
    <t>2018-02-01</t>
  </si>
  <si>
    <t>2019-01-31</t>
  </si>
  <si>
    <t>0000104169-21-000033</t>
  </si>
  <si>
    <t>2021-03-19</t>
  </si>
  <si>
    <t>Dimensional fact parsed from the 10-K XBRL instance (wmt-20210131_htm.xml)</t>
  </si>
  <si>
    <t>https://www.sec.gov/Archives/edgar/data/104169/000010416921000033/</t>
  </si>
  <si>
    <t>0000104169-22-000012</t>
  </si>
  <si>
    <t>2022-03-18</t>
  </si>
  <si>
    <t>Dimensional fact parsed from the 10-K XBRL instance (wmt-20220131_htm.xml)</t>
  </si>
  <si>
    <t>https://www.sec.gov/Archives/edgar/data/104169/000010416922000012/</t>
  </si>
  <si>
    <t>0000104169-23-000020</t>
  </si>
  <si>
    <t>2023-03-17</t>
  </si>
  <si>
    <t>Dimensional fact parsed from the 10-K XBRL instance (wmt-20230131_htm.xml)</t>
  </si>
  <si>
    <t>https://www.sec.gov/Archives/edgar/data/104169/000010416923000020/</t>
  </si>
  <si>
    <t>2021-02-01</t>
  </si>
  <si>
    <t>2022-01-31</t>
  </si>
  <si>
    <t>0000104169-24-000056</t>
  </si>
  <si>
    <t>2024-03-15</t>
  </si>
  <si>
    <t>Dimensional fact parsed from the 10-K XBRL instance (wmt-20240131_htm.xml)</t>
  </si>
  <si>
    <t>https://www.sec.gov/Archives/edgar/data/104169/000010416924000056/</t>
  </si>
  <si>
    <t>2014-09-29</t>
  </si>
  <si>
    <t>2015-09-27</t>
  </si>
  <si>
    <t>0000865436-17-000238</t>
  </si>
  <si>
    <t>2017-11-17</t>
  </si>
  <si>
    <t>COGS = 15,389 - 5,416 = 9,973. Includes occupancy costs (see Methodology). Base year only.</t>
  </si>
  <si>
    <t>https://www.sec.gov/Archives/edgar/data/865436/000086543617000238/</t>
  </si>
  <si>
    <t>2015-09-28</t>
  </si>
  <si>
    <t>2016-09-25</t>
  </si>
  <si>
    <t>Whole Foods tagged Sales and Gross Profit but not its 'Cost of goods sold and occupancy costs' line; COGS = 15,724 - 5,411 = 10,313. Includes occupancy costs (see Methodology).</t>
  </si>
  <si>
    <t>2016-09-26</t>
  </si>
  <si>
    <t>2017-09-24</t>
  </si>
  <si>
    <t>COGS = 16,030 - 5,397 = 10,633. NOTE: Whole Foods' cost line includes occupancy costs, which depresses gross margin vs peers; flagged on Methodology tab.</t>
  </si>
  <si>
    <t>0000865436-16-000366</t>
  </si>
  <si>
    <t>2016-11-18</t>
  </si>
  <si>
    <t>2015-11-13</t>
  </si>
  <si>
    <t>https://www.sec.gov/Archives/edgar/data/865436/000086543616000366/</t>
  </si>
  <si>
    <t>0000104169-17-000021</t>
  </si>
  <si>
    <t>https://www.sec.gov/Archives/edgar/data/104169/000010416917000021/</t>
  </si>
  <si>
    <t>0000104169-16-000079</t>
  </si>
  <si>
    <t>https://www.sec.gov/Archives/edgar/data/104169/000010416916000079/</t>
  </si>
  <si>
    <t>Short-term borrowings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</si>
</sst>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FY&quot;0"/>
    <numFmt numFmtId="165" formatCode="yyyy\-mm\-dd"/>
    <numFmt numFmtId="166" formatCode="#,##0;\(#,##0\);&quot;–&quot;"/>
    <numFmt numFmtId="168" formatCode="0.0%;\-0.0%;0.0%"/>
    <numFmt numFmtId="169" formatCode="\+0.0%;\-0.0%;0.0%"/>
    <numFmt numFmtId="170" formatCode="0.00&quot;x&quot;"/>
    <numFmt numFmtId="171" formatCode="\+0.00&quot;x&quot;;\-0.00&quot;x&quot;;0.00&quot;x&quot;"/>
    <numFmt numFmtId="172" formatCode="0.0"/>
    <numFmt numFmtId="173" formatCode="0.0%"/>
    <numFmt numFmtId="174" formatCode="0.0&quot;x&quot;"/>
  </numFmts>
  <fonts count="25" x14ac:knownFonts="1">
    <font>
      <sz val="11"/>
      <color theme="1"/>
      <name val="Calibri"/>
      <family val="2"/>
      <scheme val="minor"/>
    </font>
    <font>
      <sz val="9"/>
      <color rgb="FFFFFFFF"/>
      <name val="Calibri"/>
    </font>
    <font>
      <b/>
      <sz val="8"/>
      <color rgb="FF9DB4D8"/>
      <name val="Aptos"/>
    </font>
    <font>
      <b/>
      <sz val="28"/>
      <color rgb="FF1F3864"/>
      <name val="Aptos Display"/>
    </font>
    <font>
      <b/>
      <sz val="22"/>
      <color rgb="FF2E75B6"/>
      <name val="Aptos Display"/>
    </font>
    <font>
      <i/>
      <sz val="13"/>
      <color rgb="FF808080"/>
      <name val="Aptos"/>
    </font>
    <font>
      <sz val="11"/>
      <color rgb="FF404040"/>
      <name val="Calibri"/>
    </font>
    <font>
      <b/>
      <sz val="11"/>
      <color rgb="FF1F3864"/>
      <name val="Calibri"/>
    </font>
    <font>
      <sz val="10"/>
      <name val="Calibri"/>
    </font>
    <font>
      <u/>
      <sz val="11"/>
      <color rgb="FF2E75B6"/>
      <name val="Calibri"/>
    </font>
    <font>
      <sz val="9"/>
      <color rgb="FF808080"/>
      <name val="Calibri"/>
    </font>
    <font>
      <b/>
      <sz val="22"/>
      <color rgb="FFFFFFFF"/>
      <name val="Aptos Display"/>
    </font>
    <font>
      <sz val="8"/>
      <color rgb="FF9DB4D8"/>
      <name val="Aptos"/>
    </font>
    <font>
      <i/>
      <sz val="11"/>
      <color rgb="FF808080"/>
      <name val="Calibri"/>
    </font>
    <font>
      <b/>
      <sz val="11"/>
      <color rgb="FFFFFFFF"/>
      <name val="Calibri"/>
    </font>
    <font>
      <sz val="10"/>
      <color rgb="FF0000FF"/>
      <name val="Calibri"/>
    </font>
    <font>
      <b/>
      <sz val="10"/>
      <name val="Calibri"/>
    </font>
    <font>
      <i/>
      <sz val="10"/>
      <color rgb="FF808080"/>
      <name val="Calibri"/>
    </font>
    <font>
      <i/>
      <sz val="10"/>
      <color rgb="FFD9E2F3"/>
      <name val="Aptos"/>
    </font>
    <font>
      <b/>
      <sz val="12"/>
      <color rgb="FF0000FF"/>
      <name val="Calibri"/>
    </font>
    <font>
      <b/>
      <sz val="11"/>
      <name val="Calibri"/>
    </font>
    <font>
      <b/>
      <sz val="10"/>
      <color rgb="FF375623"/>
      <name val="Calibri"/>
    </font>
    <font>
      <b/>
      <sz val="10"/>
      <color rgb="FF9C0006"/>
      <name val="Calibri"/>
    </font>
    <font>
      <b/>
      <sz val="10.5"/>
      <color rgb="FF1F3864"/>
      <name val="Calibri"/>
    </font>
    <font>
      <u/>
      <sz val="9"/>
      <color rgb="FF2E75B6"/>
      <name val="Calibri"/>
    </font>
  </fonts>
  <fills count="8">
    <fill>
      <patternFill patternType="none"/>
    </fill>
    <fill>
      <patternFill patternType="gray125"/>
    </fill>
    <fill>
      <patternFill patternType="solid">
        <fgColor rgb="FF1F3864"/>
      </patternFill>
    </fill>
    <fill>
      <patternFill patternType="solid">
        <fgColor rgb="FFEEF3FA"/>
      </patternFill>
    </fill>
    <fill>
      <patternFill patternType="solid">
        <fgColor rgb="FFF2F2F2"/>
      </patternFill>
    </fill>
    <fill>
      <patternFill patternType="solid">
        <fgColor rgb="FFFFF2CC"/>
      </patternFill>
    </fill>
    <fill>
      <patternFill patternType="solid">
        <fgColor rgb="FF2E75B6"/>
      </patternFill>
    </fill>
    <fill>
      <patternFill patternType="solid">
        <fgColor rgb="FFD9E2F3"/>
      </patternFill>
    </fill>
  </fills>
  <borders count="5">
    <border>
      <left/>
      <right/>
      <top/>
      <bottom/>
      <diagonal/>
    </border>
    <border>
      <left style="dashed">
        <color rgb="FFFFFFFF"/>
      </left>
      <right style="dashed">
        <color rgb="FFFFFFFF"/>
      </right>
      <top style="dashed">
        <color rgb="FFFFFFFF"/>
      </top>
      <bottom style="dashed">
        <color rgb="FFFFFFFF"/>
      </bottom>
      <diagonal/>
    </border>
    <border>
      <left/>
      <right/>
      <top/>
      <bottom style="medium">
        <color rgb="FF1F3864"/>
      </bottom>
      <diagonal/>
    </border>
    <border>
      <left/>
      <right/>
      <top/>
      <bottom style="thick">
        <color rgb="FF2E75B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6">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applyAlignment="1">
      <alignment horizontal="right" vertical="center"/>
    </xf>
    <xf numFmtId="0" fontId="3" fillId="0" borderId="0" xfId="0" applyFont="1"/>
    <xf numFmtId="0" fontId="4" fillId="0" borderId="0" xfId="0" applyFont="1"/>
    <xf numFmtId="0" fontId="5" fillId="0" borderId="0" xfId="0" applyFont="1"/>
    <xf numFmtId="0" fontId="7" fillId="0" borderId="0" xfId="0" applyFont="1" applyAlignment="1">
      <alignment vertical="top"/>
    </xf>
    <xf numFmtId="0" fontId="8" fillId="0" borderId="0" xfId="0" applyFont="1" applyAlignment="1">
      <alignment vertical="top" wrapText="1"/>
    </xf>
    <xf numFmtId="0" fontId="7" fillId="0" borderId="2" xfId="0" applyFont="1" applyBorder="1"/>
    <xf numFmtId="0" fontId="8" fillId="0" borderId="2" xfId="0" applyFont="1" applyBorder="1"/>
    <xf numFmtId="0" fontId="9" fillId="0" borderId="0" xfId="0" applyFont="1"/>
    <xf numFmtId="0" fontId="8" fillId="0" borderId="0" xfId="0" applyFont="1"/>
    <xf numFmtId="0" fontId="10" fillId="0" borderId="0" xfId="0" applyFont="1"/>
    <xf numFmtId="0" fontId="12" fillId="2" borderId="0" xfId="0" applyFont="1" applyFill="1" applyAlignment="1">
      <alignment horizontal="right" indent="1"/>
    </xf>
    <xf numFmtId="0" fontId="0" fillId="2" borderId="3" xfId="0" applyFill="1" applyBorder="1"/>
    <xf numFmtId="0" fontId="11" fillId="2" borderId="3" xfId="0" applyFont="1" applyFill="1" applyBorder="1" applyAlignment="1">
      <alignment vertical="center" indent="1"/>
    </xf>
    <xf numFmtId="0" fontId="13" fillId="0" borderId="0" xfId="0" applyFont="1" applyAlignment="1">
      <alignment vertical="top" wrapText="1"/>
    </xf>
    <xf numFmtId="0" fontId="14" fillId="2" borderId="0" xfId="0" applyFont="1" applyFill="1" applyAlignment="1">
      <alignment vertical="center" indent="1"/>
    </xf>
    <xf numFmtId="0" fontId="23" fillId="3" borderId="0" xfId="0" applyFont="1" applyFill="1" applyAlignment="1">
      <alignment vertical="top" wrapText="1"/>
    </xf>
    <xf numFmtId="0" fontId="2" fillId="2" borderId="0" xfId="0" applyFont="1" applyFill="1" applyAlignment="1">
      <alignment indent="1"/>
    </xf>
    <xf numFmtId="0" fontId="13" fillId="0" borderId="0" xfId="0" applyFont="1" applyAlignment="1">
      <alignment vertical="center" indent="1"/>
    </xf>
    <xf numFmtId="0" fontId="14" fillId="2" borderId="0" xfId="0" applyFont="1" applyFill="1" applyAlignment="1">
      <alignment horizontal="center" vertical="center"/>
    </xf>
    <xf numFmtId="164" fontId="14" fillId="2" borderId="0" xfId="0" applyNumberFormat="1" applyFont="1" applyFill="1" applyAlignment="1">
      <alignment horizontal="center" vertical="center"/>
    </xf>
    <xf numFmtId="0" fontId="10" fillId="0" borderId="0" xfId="0" applyFont="1" applyAlignment="1">
      <alignment indent="1"/>
    </xf>
    <xf numFmtId="165" fontId="10" fillId="0" borderId="0" xfId="0" applyNumberFormat="1" applyFont="1" applyAlignment="1">
      <alignment horizontal="center" vertical="center"/>
    </xf>
    <xf numFmtId="0" fontId="8" fillId="0" borderId="0" xfId="0" applyFont="1" applyAlignment="1">
      <alignment indent="1"/>
    </xf>
    <xf numFmtId="166" fontId="15" fillId="0" borderId="0" xfId="0" applyNumberFormat="1" applyFont="1"/>
    <xf numFmtId="0" fontId="16" fillId="3" borderId="0" xfId="0" applyFont="1" applyFill="1" applyAlignment="1">
      <alignment indent="1"/>
    </xf>
    <xf numFmtId="0" fontId="10" fillId="3" borderId="0" xfId="0" applyFont="1" applyFill="1"/>
    <xf numFmtId="166" fontId="16" fillId="3" borderId="0" xfId="0" applyNumberFormat="1" applyFont="1" applyFill="1"/>
    <xf numFmtId="0" fontId="8" fillId="4" borderId="0" xfId="0" applyFont="1" applyFill="1" applyAlignment="1">
      <alignment indent="2"/>
    </xf>
    <xf numFmtId="0" fontId="10" fillId="4" borderId="0" xfId="0" applyFont="1" applyFill="1"/>
    <xf numFmtId="166" fontId="15" fillId="4" borderId="0" xfId="0" applyNumberFormat="1" applyFont="1" applyFill="1"/>
    <xf numFmtId="0" fontId="17" fillId="0" borderId="0" xfId="0" applyFont="1" applyAlignment="1">
      <alignment horizontal="right" vertical="center"/>
    </xf>
    <xf numFmtId="166" fontId="15" fillId="5" borderId="0" xfId="0" applyNumberFormat="1" applyFont="1" applyFill="1"/>
    <xf numFmtId="0" fontId="17" fillId="4" borderId="0" xfId="0" applyFont="1" applyFill="1" applyAlignment="1">
      <alignment horizontal="right" vertical="center"/>
    </xf>
    <xf numFmtId="166" fontId="16" fillId="0" borderId="0" xfId="0" applyNumberFormat="1" applyFont="1"/>
    <xf numFmtId="0" fontId="17" fillId="3" borderId="0" xfId="0" applyFont="1" applyFill="1" applyAlignment="1">
      <alignment horizontal="right" vertical="center"/>
    </xf>
    <xf numFmtId="0" fontId="7" fillId="7" borderId="4" xfId="0" applyFont="1" applyFill="1" applyBorder="1" applyAlignment="1">
      <alignment indent="1"/>
    </xf>
    <xf numFmtId="0" fontId="7" fillId="7" borderId="4" xfId="0" applyFont="1" applyFill="1" applyBorder="1" applyAlignment="1">
      <alignment horizontal="center" vertical="center"/>
    </xf>
    <xf numFmtId="0" fontId="8" fillId="0" borderId="4" xfId="0" applyFont="1" applyBorder="1" applyAlignment="1">
      <alignment indent="1"/>
    </xf>
    <xf numFmtId="0" fontId="10" fillId="0" borderId="4" xfId="0" applyFont="1" applyBorder="1"/>
    <xf numFmtId="164" fontId="8" fillId="0" borderId="4" xfId="0" applyNumberFormat="1" applyFont="1" applyBorder="1" applyAlignment="1">
      <alignment horizontal="center" vertical="center"/>
    </xf>
    <xf numFmtId="166" fontId="15" fillId="0" borderId="4" xfId="0" applyNumberFormat="1" applyFont="1" applyBorder="1"/>
    <xf numFmtId="0" fontId="10" fillId="0" borderId="4" xfId="0" applyFont="1" applyBorder="1" applyAlignment="1">
      <alignment horizontal="center" vertical="center"/>
    </xf>
    <xf numFmtId="168" fontId="8" fillId="0" borderId="0" xfId="0" applyNumberFormat="1" applyFont="1" applyAlignment="1">
      <alignment horizontal="right" vertical="center"/>
    </xf>
    <xf numFmtId="169" fontId="8" fillId="3" borderId="0" xfId="0" applyNumberFormat="1" applyFont="1" applyFill="1" applyAlignment="1">
      <alignment horizontal="right" vertical="center"/>
    </xf>
    <xf numFmtId="170" fontId="8" fillId="0" borderId="0" xfId="0" applyNumberFormat="1" applyFont="1" applyAlignment="1">
      <alignment horizontal="right" vertical="center"/>
    </xf>
    <xf numFmtId="171" fontId="8" fillId="3" borderId="0" xfId="0" applyNumberFormat="1" applyFont="1" applyFill="1" applyAlignment="1">
      <alignment horizontal="right" vertical="center"/>
    </xf>
    <xf numFmtId="0" fontId="18" fillId="2" borderId="3" xfId="0" applyFont="1" applyFill="1" applyBorder="1" applyAlignment="1">
      <alignment horizontal="right" vertical="center" indent="1"/>
    </xf>
    <xf numFmtId="0" fontId="7" fillId="0" borderId="0" xfId="0" applyFont="1"/>
    <xf numFmtId="164" fontId="19" fillId="5" borderId="4" xfId="0" applyNumberFormat="1" applyFont="1" applyFill="1" applyBorder="1" applyAlignment="1">
      <alignment horizontal="center" vertical="center"/>
    </xf>
    <xf numFmtId="0" fontId="20" fillId="0" borderId="4" xfId="0" applyFont="1" applyBorder="1" applyAlignment="1">
      <alignment vertical="center" indent="1"/>
    </xf>
    <xf numFmtId="0" fontId="8" fillId="0" borderId="4" xfId="0" applyFont="1" applyBorder="1" applyAlignment="1">
      <alignment horizontal="center" vertical="center"/>
    </xf>
    <xf numFmtId="168" fontId="8" fillId="0" borderId="4" xfId="0" applyNumberFormat="1" applyFont="1" applyBorder="1" applyAlignment="1">
      <alignment horizontal="center" vertical="center"/>
    </xf>
    <xf numFmtId="0" fontId="21" fillId="0" borderId="4" xfId="0" applyFont="1" applyBorder="1" applyAlignment="1">
      <alignment horizontal="center" vertical="center"/>
    </xf>
    <xf numFmtId="0" fontId="22" fillId="0" borderId="4" xfId="0" applyFont="1" applyBorder="1" applyAlignment="1">
      <alignment horizontal="center" vertical="center"/>
    </xf>
    <xf numFmtId="0" fontId="8" fillId="0" borderId="4" xfId="0" applyFont="1" applyBorder="1" applyAlignment="1">
      <alignment vertical="center" wrapText="1"/>
    </xf>
    <xf numFmtId="0" fontId="10" fillId="0" borderId="4" xfId="0" applyFont="1" applyBorder="1" applyAlignment="1">
      <alignment indent="2"/>
    </xf>
    <xf numFmtId="0" fontId="8" fillId="0" borderId="4" xfId="0" applyFont="1" applyBorder="1"/>
    <xf numFmtId="170" fontId="8" fillId="0" borderId="4" xfId="0" applyNumberFormat="1" applyFont="1" applyBorder="1" applyAlignment="1">
      <alignment horizontal="center" vertical="center"/>
    </xf>
    <xf numFmtId="0" fontId="20" fillId="0" borderId="4" xfId="0" applyFont="1" applyBorder="1" applyAlignment="1">
      <alignment vertical="center" wrapText="1" indent="1"/>
    </xf>
    <xf numFmtId="172" fontId="20" fillId="0" borderId="4" xfId="0" applyNumberFormat="1" applyFont="1" applyBorder="1" applyAlignment="1">
      <alignment horizontal="center" vertical="center"/>
    </xf>
    <xf numFmtId="0" fontId="10" fillId="0" borderId="4" xfId="0" applyFont="1" applyBorder="1" applyAlignment="1">
      <alignment vertical="center" wrapText="1"/>
    </xf>
    <xf numFmtId="0" fontId="14" fillId="2" borderId="0" xfId="0" applyFont="1" applyFill="1"/>
    <xf numFmtId="9" fontId="10" fillId="0" borderId="0" xfId="0" applyNumberFormat="1" applyFont="1"/>
    <xf numFmtId="173" fontId="10" fillId="0" borderId="0" xfId="0" applyNumberFormat="1" applyFont="1"/>
    <xf numFmtId="170" fontId="10" fillId="0" borderId="0" xfId="0" applyNumberFormat="1" applyFont="1"/>
    <xf numFmtId="174" fontId="10" fillId="0" borderId="0" xfId="0" applyNumberFormat="1" applyFont="1"/>
    <xf numFmtId="0" fontId="7" fillId="0" borderId="4" xfId="0" applyFont="1" applyBorder="1" applyAlignment="1">
      <alignment vertical="top" wrapText="1" indent="1"/>
    </xf>
    <xf numFmtId="0" fontId="8" fillId="0" borderId="4" xfId="0" applyFont="1" applyBorder="1" applyAlignment="1">
      <alignment vertical="top" wrapText="1"/>
    </xf>
    <xf numFmtId="3" fontId="10" fillId="0" borderId="0" xfId="0" applyNumberFormat="1" applyFont="1"/>
    <xf numFmtId="0" fontId="24" fillId="0" borderId="0" xfId="0" applyFont="1"/>
    <xf numFmtId="0" fontId="10" fillId="5" borderId="0" xfId="0" applyFont="1" applyFill="1"/>
    <xf numFmtId="3" fontId="10" fillId="5" borderId="0" xfId="0" applyNumberFormat="1" applyFont="1" applyFill="1"/>
    <xf numFmtId="0" fontId="24" fillId="5" borderId="0" xfId="0" applyFont="1" applyFill="1"/>
    <xf numFmtId="0" fontId="6" fillId="0" borderId="0" xfId="0" applyFont="1" applyAlignment="1">
      <alignment vertical="top" wrapText="1"/>
    </xf>
    <xf numFmtId="0" fontId="0" fillId="0" borderId="0" xfId="0"/>
    <xf numFmtId="0" fontId="10" fillId="0" borderId="0" xfId="0" applyFont="1"/>
    <xf numFmtId="0" fontId="14" fillId="2" borderId="0" xfId="0" applyFont="1" applyFill="1" applyAlignment="1">
      <alignment vertical="center" indent="1"/>
    </xf>
    <xf numFmtId="0" fontId="0" fillId="2" borderId="0" xfId="0" applyFill="1"/>
    <xf numFmtId="0" fontId="14" fillId="6" borderId="0" xfId="0" applyFont="1" applyFill="1" applyAlignment="1">
      <alignment vertical="center" indent="1"/>
    </xf>
    <xf numFmtId="0" fontId="0" fillId="6" borderId="0" xfId="0" applyFill="1"/>
    <xf numFmtId="0" fontId="7" fillId="7" borderId="0" xfId="0" applyFont="1" applyFill="1" applyAlignment="1">
      <alignment vertical="center" indent="1"/>
    </xf>
    <xf numFmtId="0" fontId="0" fillId="7" borderId="0" xfId="0" applyFill="1"/>
  </cellXfs>
  <cellStyles count="1">
    <cellStyle name="Normal" xfId="0" builtinId="0"/>
  </cellStyles>
  <dxfs count="8">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fill>
        <patternFill patternType="solid">
          <fgColor rgb="FFFFFFFF"/>
        </patternFill>
      </fill>
    </dxf>
    <dxf>
      <font>
        <i/>
        <color rgb="FF80808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Gross profit margin, FY2016–FY2025</a:t>
            </a:r>
          </a:p>
        </c:rich>
      </c:tx>
      <c:overlay val="0"/>
    </c:title>
    <c:autoTitleDeleted val="0"/>
    <c:plotArea>
      <c:layout/>
      <c:barChart>
        <c:barDir val="col"/>
        <c:grouping val="clustered"/>
        <c:varyColors val="1"/>
        <c:ser>
          <c:idx val="0"/>
          <c:order val="0"/>
          <c:tx>
            <c:strRef>
              <c:f>Trend!$A$76</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Trend!$B$76:$K$76</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8A1-41B2-BB64-5B6E9BF0C2F2}"/>
            </c:ext>
          </c:extLst>
        </c:ser>
        <c:dLbls>
          <c:showLegendKey val="0"/>
          <c:showVal val="0"/>
          <c:showCatName val="0"/>
          <c:showSerName val="0"/>
          <c:showPercent val="0"/>
          <c:showBubbleSize val="0"/>
        </c:dLbls>
        <c:gapWidth val="0"/>
        <c:axId val="940571056"/>
        <c:axId val="11889872"/>
      </c:barChart>
      <c:lineChart>
        <c:grouping val="standard"/>
        <c:varyColors val="1"/>
        <c:ser>
          <c:idx val="1"/>
          <c:order val="1"/>
          <c:tx>
            <c:strRef>
              <c:f>Trend!$A$71</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Trend!$B$71:$K$71</c:f>
              <c:numCache>
                <c:formatCode>0%</c:formatCode>
                <c:ptCount val="10"/>
                <c:pt idx="0">
                  <c:v>0.24944267499381903</c:v>
                </c:pt>
                <c:pt idx="1">
                  <c:v>0.24682256167790528</c:v>
                </c:pt>
                <c:pt idx="2">
                  <c:v>0.24499489544979808</c:v>
                </c:pt>
                <c:pt idx="3">
                  <c:v>0.24103622438577799</c:v>
                </c:pt>
                <c:pt idx="4">
                  <c:v>0.24299348201565829</c:v>
                </c:pt>
                <c:pt idx="5">
                  <c:v>0.24440170353070476</c:v>
                </c:pt>
                <c:pt idx="6">
                  <c:v>0.23463353364769649</c:v>
                </c:pt>
                <c:pt idx="7">
                  <c:v>0.23729570504032604</c:v>
                </c:pt>
                <c:pt idx="8">
                  <c:v>0.24132813866676156</c:v>
                </c:pt>
                <c:pt idx="9">
                  <c:v>0.24209350620670911</c:v>
                </c:pt>
              </c:numCache>
            </c:numRef>
          </c:val>
          <c:smooth val="0"/>
          <c:extLst>
            <c:ext xmlns:c16="http://schemas.microsoft.com/office/drawing/2014/chart" uri="{C3380CC4-5D6E-409C-BE32-E72D297353CC}">
              <c16:uniqueId val="{00000001-78A1-41B2-BB64-5B6E9BF0C2F2}"/>
            </c:ext>
          </c:extLst>
        </c:ser>
        <c:ser>
          <c:idx val="2"/>
          <c:order val="2"/>
          <c:tx>
            <c:strRef>
              <c:f>Trend!$A$72</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Trend!$B$72:$K$72</c:f>
              <c:numCache>
                <c:formatCode>0%</c:formatCode>
                <c:ptCount val="10"/>
                <c:pt idx="0">
                  <c:v>0.11348030980503648</c:v>
                </c:pt>
                <c:pt idx="1">
                  <c:v>0.11325809212820594</c:v>
                </c:pt>
                <c:pt idx="2">
                  <c:v>0.11039195573341809</c:v>
                </c:pt>
                <c:pt idx="3">
                  <c:v>0.11024365421055099</c:v>
                </c:pt>
                <c:pt idx="4">
                  <c:v>0.11200220561205734</c:v>
                </c:pt>
                <c:pt idx="5">
                  <c:v>0.11126153333472184</c:v>
                </c:pt>
                <c:pt idx="6">
                  <c:v>0.10482647151259372</c:v>
                </c:pt>
                <c:pt idx="7">
                  <c:v>0.1056918093475243</c:v>
                </c:pt>
                <c:pt idx="8">
                  <c:v>0.10923184777165748</c:v>
                </c:pt>
                <c:pt idx="9">
                  <c:v>0.11124366460179615</c:v>
                </c:pt>
              </c:numCache>
            </c:numRef>
          </c:val>
          <c:smooth val="0"/>
          <c:extLst>
            <c:ext xmlns:c16="http://schemas.microsoft.com/office/drawing/2014/chart" uri="{C3380CC4-5D6E-409C-BE32-E72D297353CC}">
              <c16:uniqueId val="{00000002-78A1-41B2-BB64-5B6E9BF0C2F2}"/>
            </c:ext>
          </c:extLst>
        </c:ser>
        <c:ser>
          <c:idx val="3"/>
          <c:order val="3"/>
          <c:tx>
            <c:strRef>
              <c:f>Trend!$A$73</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Trend!$B$73:$K$73</c:f>
              <c:numCache>
                <c:formatCode>0%</c:formatCode>
                <c:ptCount val="10"/>
                <c:pt idx="0">
                  <c:v>0.22399576892064124</c:v>
                </c:pt>
                <c:pt idx="1">
                  <c:v>0.22281797534068787</c:v>
                </c:pt>
                <c:pt idx="2">
                  <c:v>0.21952040179890359</c:v>
                </c:pt>
                <c:pt idx="3">
                  <c:v>0.22072845624192466</c:v>
                </c:pt>
                <c:pt idx="4">
                  <c:v>0.23321861462059804</c:v>
                </c:pt>
                <c:pt idx="5">
                  <c:v>0.22009892086330934</c:v>
                </c:pt>
                <c:pt idx="6">
                  <c:v>0.21434256498806134</c:v>
                </c:pt>
                <c:pt idx="7">
                  <c:v>0.22236885076546764</c:v>
                </c:pt>
                <c:pt idx="8">
                  <c:v>0.22704131916831494</c:v>
                </c:pt>
                <c:pt idx="9">
                  <c:v>0.23300957722057408</c:v>
                </c:pt>
              </c:numCache>
            </c:numRef>
          </c:val>
          <c:smooth val="0"/>
          <c:extLst>
            <c:ext xmlns:c16="http://schemas.microsoft.com/office/drawing/2014/chart" uri="{C3380CC4-5D6E-409C-BE32-E72D297353CC}">
              <c16:uniqueId val="{00000003-78A1-41B2-BB64-5B6E9BF0C2F2}"/>
            </c:ext>
          </c:extLst>
        </c:ser>
        <c:ser>
          <c:idx val="4"/>
          <c:order val="4"/>
          <c:tx>
            <c:strRef>
              <c:f>Trend!$A$74</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Trend!$B$74:$K$74</c:f>
              <c:numCache>
                <c:formatCode>0%</c:formatCode>
                <c:ptCount val="10"/>
                <c:pt idx="0">
                  <c:v>#N/A</c:v>
                </c:pt>
                <c:pt idx="1">
                  <c:v>#N/A</c:v>
                </c:pt>
                <c:pt idx="2">
                  <c:v>#N/A</c:v>
                </c:pt>
                <c:pt idx="3">
                  <c:v>#N/A</c:v>
                </c:pt>
                <c:pt idx="4">
                  <c:v>#N/A</c:v>
                </c:pt>
                <c:pt idx="5">
                  <c:v>#N/A</c:v>
                </c:pt>
                <c:pt idx="6">
                  <c:v>0.10387100598731401</c:v>
                </c:pt>
                <c:pt idx="7">
                  <c:v>0.1094350131702619</c:v>
                </c:pt>
                <c:pt idx="8">
                  <c:v>0.11306766550677098</c:v>
                </c:pt>
                <c:pt idx="9">
                  <c:v>0.11348707197763802</c:v>
                </c:pt>
              </c:numCache>
            </c:numRef>
          </c:val>
          <c:smooth val="0"/>
          <c:extLst>
            <c:ext xmlns:c16="http://schemas.microsoft.com/office/drawing/2014/chart" uri="{C3380CC4-5D6E-409C-BE32-E72D297353CC}">
              <c16:uniqueId val="{00000004-78A1-41B2-BB64-5B6E9BF0C2F2}"/>
            </c:ext>
          </c:extLst>
        </c:ser>
        <c:ser>
          <c:idx val="5"/>
          <c:order val="5"/>
          <c:tx>
            <c:strRef>
              <c:f>Trend!$A$75</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Trend!$B$75:$K$75</c:f>
              <c:numCache>
                <c:formatCode>0%</c:formatCode>
                <c:ptCount val="10"/>
                <c:pt idx="0">
                  <c:v>0.34412363266344442</c:v>
                </c:pt>
                <c:pt idx="1">
                  <c:v>0.33668122270742357</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78A1-41B2-BB64-5B6E9BF0C2F2}"/>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Gross profit margin</a:t>
                </a:r>
              </a:p>
            </c:rich>
          </c:tx>
          <c:overlay val="0"/>
        </c:title>
        <c:numFmt formatCode="0%" sourceLinked="0"/>
        <c:majorTickMark val="none"/>
        <c:minorTickMark val="none"/>
        <c:tickLblPos val="nextTo"/>
        <c:crossAx val="10"/>
        <c:crosses val="autoZero"/>
        <c:crossBetween val="between"/>
      </c:valAx>
      <c:valAx>
        <c:axId val="1188987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940571056"/>
        <c:crosses val="max"/>
        <c:crossBetween val="between"/>
      </c:valAx>
      <c:catAx>
        <c:axId val="940571056"/>
        <c:scaling>
          <c:orientation val="minMax"/>
        </c:scaling>
        <c:delete val="1"/>
        <c:axPos val="b"/>
        <c:numFmt formatCode="General" sourceLinked="1"/>
        <c:majorTickMark val="out"/>
        <c:minorTickMark val="none"/>
        <c:tickLblPos val="nextTo"/>
        <c:crossAx val="1188987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Net profit margin, FY2016–FY2025</a:t>
            </a:r>
          </a:p>
        </c:rich>
      </c:tx>
      <c:overlay val="0"/>
    </c:title>
    <c:autoTitleDeleted val="0"/>
    <c:plotArea>
      <c:layout/>
      <c:barChart>
        <c:barDir val="col"/>
        <c:grouping val="clustered"/>
        <c:varyColors val="1"/>
        <c:ser>
          <c:idx val="0"/>
          <c:order val="0"/>
          <c:tx>
            <c:strRef>
              <c:f>Trend!$A$82</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Trend!$B$82:$K$82</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5504-4462-8D07-8E12FAF31744}"/>
            </c:ext>
          </c:extLst>
        </c:ser>
        <c:dLbls>
          <c:showLegendKey val="0"/>
          <c:showVal val="0"/>
          <c:showCatName val="0"/>
          <c:showSerName val="0"/>
          <c:showPercent val="0"/>
          <c:showBubbleSize val="0"/>
        </c:dLbls>
        <c:gapWidth val="0"/>
        <c:axId val="940570592"/>
        <c:axId val="11823152"/>
      </c:barChart>
      <c:lineChart>
        <c:grouping val="standard"/>
        <c:varyColors val="1"/>
        <c:ser>
          <c:idx val="1"/>
          <c:order val="1"/>
          <c:tx>
            <c:strRef>
              <c:f>Trend!$A$78</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Trend!$B$78:$K$78</c:f>
              <c:numCache>
                <c:formatCode>0.0%</c:formatCode>
                <c:ptCount val="10"/>
                <c:pt idx="0">
                  <c:v>2.8345144675961997E-2</c:v>
                </c:pt>
                <c:pt idx="1">
                  <c:v>1.989264988573123E-2</c:v>
                </c:pt>
                <c:pt idx="2">
                  <c:v>1.3069999941214393E-2</c:v>
                </c:pt>
                <c:pt idx="3">
                  <c:v>2.8621380734950744E-2</c:v>
                </c:pt>
                <c:pt idx="4">
                  <c:v>2.4332127233071522E-2</c:v>
                </c:pt>
                <c:pt idx="5">
                  <c:v>2.4082273910547024E-2</c:v>
                </c:pt>
                <c:pt idx="6">
                  <c:v>1.9277712950232801E-2</c:v>
                </c:pt>
                <c:pt idx="7">
                  <c:v>2.4136487628318944E-2</c:v>
                </c:pt>
                <c:pt idx="8">
                  <c:v>2.881379551633859E-2</c:v>
                </c:pt>
                <c:pt idx="9">
                  <c:v>3.0991785258765055E-2</c:v>
                </c:pt>
              </c:numCache>
            </c:numRef>
          </c:val>
          <c:smooth val="0"/>
          <c:extLst>
            <c:ext xmlns:c16="http://schemas.microsoft.com/office/drawing/2014/chart" uri="{C3380CC4-5D6E-409C-BE32-E72D297353CC}">
              <c16:uniqueId val="{00000001-5504-4462-8D07-8E12FAF31744}"/>
            </c:ext>
          </c:extLst>
        </c:ser>
        <c:ser>
          <c:idx val="2"/>
          <c:order val="2"/>
          <c:tx>
            <c:strRef>
              <c:f>Trend!$A$79</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Trend!$B$79:$K$79</c:f>
              <c:numCache>
                <c:formatCode>0.0%</c:formatCode>
                <c:ptCount val="10"/>
                <c:pt idx="0">
                  <c:v>2.0245879748089564E-2</c:v>
                </c:pt>
                <c:pt idx="1">
                  <c:v>2.1232920140760232E-2</c:v>
                </c:pt>
                <c:pt idx="2">
                  <c:v>2.2638947079474697E-2</c:v>
                </c:pt>
                <c:pt idx="3">
                  <c:v>2.4499333784172853E-2</c:v>
                </c:pt>
                <c:pt idx="4">
                  <c:v>2.4519054037495405E-2</c:v>
                </c:pt>
                <c:pt idx="5">
                  <c:v>2.6071064086809821E-2</c:v>
                </c:pt>
                <c:pt idx="6">
                  <c:v>2.6238046064742063E-2</c:v>
                </c:pt>
                <c:pt idx="7">
                  <c:v>2.6469227209625173E-2</c:v>
                </c:pt>
                <c:pt idx="8">
                  <c:v>2.9512268402603906E-2</c:v>
                </c:pt>
                <c:pt idx="9">
                  <c:v>3.0006076054417737E-2</c:v>
                </c:pt>
              </c:numCache>
            </c:numRef>
          </c:val>
          <c:smooth val="0"/>
          <c:extLst>
            <c:ext xmlns:c16="http://schemas.microsoft.com/office/drawing/2014/chart" uri="{C3380CC4-5D6E-409C-BE32-E72D297353CC}">
              <c16:uniqueId val="{00000002-5504-4462-8D07-8E12FAF31744}"/>
            </c:ext>
          </c:extLst>
        </c:ser>
        <c:ser>
          <c:idx val="3"/>
          <c:order val="3"/>
          <c:tx>
            <c:strRef>
              <c:f>Trend!$A$80</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Trend!$B$80:$K$80</c:f>
              <c:numCache>
                <c:formatCode>0.0%</c:formatCode>
                <c:ptCount val="10"/>
                <c:pt idx="0">
                  <c:v>1.7123733060509638E-2</c:v>
                </c:pt>
                <c:pt idx="1">
                  <c:v>1.5468851395197923E-2</c:v>
                </c:pt>
                <c:pt idx="2">
                  <c:v>2.552276532186587E-2</c:v>
                </c:pt>
                <c:pt idx="3">
                  <c:v>1.3566557087483441E-2</c:v>
                </c:pt>
                <c:pt idx="4">
                  <c:v>1.9509728448731303E-2</c:v>
                </c:pt>
                <c:pt idx="5">
                  <c:v>1.2002494778370851E-2</c:v>
                </c:pt>
                <c:pt idx="6">
                  <c:v>1.5135776821486868E-2</c:v>
                </c:pt>
                <c:pt idx="7">
                  <c:v>1.4422916708322502E-2</c:v>
                </c:pt>
                <c:pt idx="8">
                  <c:v>1.81140950089381E-2</c:v>
                </c:pt>
                <c:pt idx="9">
                  <c:v>6.8815106812424648E-3</c:v>
                </c:pt>
              </c:numCache>
            </c:numRef>
          </c:val>
          <c:smooth val="0"/>
          <c:extLst>
            <c:ext xmlns:c16="http://schemas.microsoft.com/office/drawing/2014/chart" uri="{C3380CC4-5D6E-409C-BE32-E72D297353CC}">
              <c16:uniqueId val="{00000003-5504-4462-8D07-8E12FAF31744}"/>
            </c:ext>
          </c:extLst>
        </c:ser>
        <c:ser>
          <c:idx val="4"/>
          <c:order val="4"/>
          <c:tx>
            <c:strRef>
              <c:f>Trend!$A$81</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Trend!$B$81:$K$81</c:f>
              <c:numCache>
                <c:formatCode>0.0%</c:formatCode>
                <c:ptCount val="10"/>
                <c:pt idx="0">
                  <c:v>3.2243703892139403E-2</c:v>
                </c:pt>
                <c:pt idx="1">
                  <c:v>1.5283842794759825E-2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5504-4462-8D07-8E12FAF3174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Net profit margin</a:t>
                </a:r>
              </a:p>
            </c:rich>
          </c:tx>
          <c:overlay val="0"/>
        </c:title>
        <c:numFmt formatCode="0.0%" sourceLinked="0"/>
        <c:majorTickMark val="none"/>
        <c:minorTickMark val="none"/>
        <c:tickLblPos val="nextTo"/>
        <c:crossAx val="10"/>
        <c:crosses val="autoZero"/>
        <c:crossBetween val="between"/>
      </c:valAx>
      <c:valAx>
        <c:axId val="1182315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940570592"/>
        <c:crosses val="max"/>
        <c:crossBetween val="between"/>
      </c:valAx>
      <c:catAx>
        <c:axId val="940570592"/>
        <c:scaling>
          <c:orientation val="minMax"/>
        </c:scaling>
        <c:delete val="1"/>
        <c:axPos val="b"/>
        <c:numFmt formatCode="General" sourceLinked="1"/>
        <c:majorTickMark val="out"/>
        <c:minorTickMark val="none"/>
        <c:tickLblPos val="nextTo"/>
        <c:crossAx val="1182315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Operating margin, FY2016–FY2025</a:t>
            </a:r>
          </a:p>
        </c:rich>
      </c:tx>
      <c:overlay val="0"/>
    </c:title>
    <c:autoTitleDeleted val="0"/>
    <c:plotArea>
      <c:layout/>
      <c:barChart>
        <c:barDir val="col"/>
        <c:grouping val="clustered"/>
        <c:varyColors val="1"/>
        <c:ser>
          <c:idx val="0"/>
          <c:order val="0"/>
          <c:tx>
            <c:strRef>
              <c:f>Trend!$A$89</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Trend!$B$89:$K$89</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ED8D-4146-AF05-161B46AD0E92}"/>
            </c:ext>
          </c:extLst>
        </c:ser>
        <c:dLbls>
          <c:showLegendKey val="0"/>
          <c:showVal val="0"/>
          <c:showCatName val="0"/>
          <c:showSerName val="0"/>
          <c:showPercent val="0"/>
          <c:showBubbleSize val="0"/>
        </c:dLbls>
        <c:gapWidth val="0"/>
        <c:axId val="940565024"/>
        <c:axId val="11817392"/>
      </c:barChart>
      <c:lineChart>
        <c:grouping val="standard"/>
        <c:varyColors val="1"/>
        <c:ser>
          <c:idx val="1"/>
          <c:order val="1"/>
          <c:tx>
            <c:strRef>
              <c:f>Trend!$A$84</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Trend!$B$84:$K$84</c:f>
              <c:numCache>
                <c:formatCode>0.0%</c:formatCode>
                <c:ptCount val="10"/>
                <c:pt idx="0">
                  <c:v>4.7295233702528687E-2</c:v>
                </c:pt>
                <c:pt idx="1">
                  <c:v>4.1223492771718634E-2</c:v>
                </c:pt>
                <c:pt idx="2">
                  <c:v>4.3025185713529902E-2</c:v>
                </c:pt>
                <c:pt idx="3">
                  <c:v>3.9559475771552104E-2</c:v>
                </c:pt>
                <c:pt idx="4">
                  <c:v>4.0609978153315816E-2</c:v>
                </c:pt>
                <c:pt idx="5">
                  <c:v>4.5691680669012719E-2</c:v>
                </c:pt>
                <c:pt idx="6">
                  <c:v>3.3716191793437988E-2</c:v>
                </c:pt>
                <c:pt idx="7">
                  <c:v>4.2033060654770887E-2</c:v>
                </c:pt>
                <c:pt idx="8">
                  <c:v>4.3508297531050885E-2</c:v>
                </c:pt>
                <c:pt idx="9">
                  <c:v>4.222034418958881E-2</c:v>
                </c:pt>
              </c:numCache>
            </c:numRef>
          </c:val>
          <c:smooth val="0"/>
          <c:extLst>
            <c:ext xmlns:c16="http://schemas.microsoft.com/office/drawing/2014/chart" uri="{C3380CC4-5D6E-409C-BE32-E72D297353CC}">
              <c16:uniqueId val="{00000001-ED8D-4146-AF05-161B46AD0E92}"/>
            </c:ext>
          </c:extLst>
        </c:ser>
        <c:ser>
          <c:idx val="2"/>
          <c:order val="2"/>
          <c:tx>
            <c:strRef>
              <c:f>Trend!$A$85</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Trend!$B$85:$K$85</c:f>
              <c:numCache>
                <c:formatCode>0.0%</c:formatCode>
                <c:ptCount val="10"/>
                <c:pt idx="0">
                  <c:v>3.1635264014887185E-2</c:v>
                </c:pt>
                <c:pt idx="1">
                  <c:v>3.258250641980788E-2</c:v>
                </c:pt>
                <c:pt idx="2">
                  <c:v>3.2361991996185911E-2</c:v>
                </c:pt>
                <c:pt idx="3">
                  <c:v>3.1717229881286363E-2</c:v>
                </c:pt>
                <c:pt idx="4">
                  <c:v>3.3298615365763999E-2</c:v>
                </c:pt>
                <c:pt idx="5">
                  <c:v>3.492804032241268E-2</c:v>
                </c:pt>
                <c:pt idx="6">
                  <c:v>3.4988551160598035E-2</c:v>
                </c:pt>
                <c:pt idx="7">
                  <c:v>3.4134028858693363E-2</c:v>
                </c:pt>
                <c:pt idx="8">
                  <c:v>3.7195793690535807E-2</c:v>
                </c:pt>
                <c:pt idx="9">
                  <c:v>3.8468093304484426E-2</c:v>
                </c:pt>
              </c:numCache>
            </c:numRef>
          </c:val>
          <c:smooth val="0"/>
          <c:extLst>
            <c:ext xmlns:c16="http://schemas.microsoft.com/office/drawing/2014/chart" uri="{C3380CC4-5D6E-409C-BE32-E72D297353CC}">
              <c16:uniqueId val="{00000002-ED8D-4146-AF05-161B46AD0E92}"/>
            </c:ext>
          </c:extLst>
        </c:ser>
        <c:ser>
          <c:idx val="3"/>
          <c:order val="3"/>
          <c:tx>
            <c:strRef>
              <c:f>Trend!$A$86</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Trend!$B$86:$K$86</c:f>
              <c:numCache>
                <c:formatCode>0.0%</c:formatCode>
                <c:ptCount val="10"/>
                <c:pt idx="0">
                  <c:v>2.9929684316394565E-2</c:v>
                </c:pt>
                <c:pt idx="1">
                  <c:v>2.1187540558079171E-2</c:v>
                </c:pt>
                <c:pt idx="2">
                  <c:v>2.1452253553491122E-2</c:v>
                </c:pt>
                <c:pt idx="3">
                  <c:v>1.8407667271805438E-2</c:v>
                </c:pt>
                <c:pt idx="4">
                  <c:v>2.0981448776585306E-2</c:v>
                </c:pt>
                <c:pt idx="5">
                  <c:v>2.5216117428637736E-2</c:v>
                </c:pt>
                <c:pt idx="6">
                  <c:v>2.7829864155728527E-2</c:v>
                </c:pt>
                <c:pt idx="7">
                  <c:v>2.0634634994901327E-2</c:v>
                </c:pt>
                <c:pt idx="8">
                  <c:v>2.6161782997899716E-2</c:v>
                </c:pt>
                <c:pt idx="9">
                  <c:v>1.2801235420815215E-2</c:v>
                </c:pt>
              </c:numCache>
            </c:numRef>
          </c:val>
          <c:smooth val="0"/>
          <c:extLst>
            <c:ext xmlns:c16="http://schemas.microsoft.com/office/drawing/2014/chart" uri="{C3380CC4-5D6E-409C-BE32-E72D297353CC}">
              <c16:uniqueId val="{00000003-ED8D-4146-AF05-161B46AD0E92}"/>
            </c:ext>
          </c:extLst>
        </c:ser>
        <c:ser>
          <c:idx val="4"/>
          <c:order val="4"/>
          <c:tx>
            <c:strRef>
              <c:f>Trend!$A$87</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Trend!$B$87:$K$87</c:f>
              <c:numCache>
                <c:formatCode>0.0%</c:formatCode>
                <c:ptCount val="10"/>
                <c:pt idx="0">
                  <c:v>2.8379674017257911E-2</c:v>
                </c:pt>
                <c:pt idx="1">
                  <c:v>1.5451904890570117E-2</c:v>
                </c:pt>
                <c:pt idx="2">
                  <c:v>2.6279845778799771E-2</c:v>
                </c:pt>
                <c:pt idx="3">
                  <c:v>2.7928969927881346E-2</c:v>
                </c:pt>
                <c:pt idx="4">
                  <c:v>2.9823188859333438E-2</c:v>
                </c:pt>
                <c:pt idx="5">
                  <c:v>3.0711294795801838E-2</c:v>
                </c:pt>
                <c:pt idx="6">
                  <c:v>2.3285316260596361E-2</c:v>
                </c:pt>
                <c:pt idx="7">
                  <c:v>2.5435430905441002E-2</c:v>
                </c:pt>
                <c:pt idx="8">
                  <c:v>2.6640661362175581E-2</c:v>
                </c:pt>
                <c:pt idx="9">
                  <c:v>2.6253830027414934E-2</c:v>
                </c:pt>
              </c:numCache>
            </c:numRef>
          </c:val>
          <c:smooth val="0"/>
          <c:extLst>
            <c:ext xmlns:c16="http://schemas.microsoft.com/office/drawing/2014/chart" uri="{C3380CC4-5D6E-409C-BE32-E72D297353CC}">
              <c16:uniqueId val="{00000004-ED8D-4146-AF05-161B46AD0E92}"/>
            </c:ext>
          </c:extLst>
        </c:ser>
        <c:ser>
          <c:idx val="5"/>
          <c:order val="5"/>
          <c:tx>
            <c:strRef>
              <c:f>Trend!$A$88</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Trend!$B$88:$K$88</c:f>
              <c:numCache>
                <c:formatCode>0.0%</c:formatCode>
                <c:ptCount val="10"/>
                <c:pt idx="0">
                  <c:v>5.4502671076062069E-2</c:v>
                </c:pt>
                <c:pt idx="1">
                  <c:v>2.8633811603243919E-2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ED8D-4146-AF05-161B46AD0E92}"/>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Operating margin</a:t>
                </a:r>
              </a:p>
            </c:rich>
          </c:tx>
          <c:overlay val="0"/>
        </c:title>
        <c:numFmt formatCode="0.0%" sourceLinked="0"/>
        <c:majorTickMark val="none"/>
        <c:minorTickMark val="none"/>
        <c:tickLblPos val="nextTo"/>
        <c:crossAx val="10"/>
        <c:crosses val="autoZero"/>
        <c:crossBetween val="between"/>
      </c:valAx>
      <c:valAx>
        <c:axId val="1181739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940565024"/>
        <c:crosses val="max"/>
        <c:crossBetween val="between"/>
      </c:valAx>
      <c:catAx>
        <c:axId val="940565024"/>
        <c:scaling>
          <c:orientation val="minMax"/>
        </c:scaling>
        <c:delete val="1"/>
        <c:axPos val="b"/>
        <c:numFmt formatCode="General" sourceLinked="1"/>
        <c:majorTickMark val="out"/>
        <c:minorTickMark val="none"/>
        <c:tickLblPos val="nextTo"/>
        <c:crossAx val="1181739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Current ratio, FY2016–FY2025</a:t>
            </a:r>
          </a:p>
        </c:rich>
      </c:tx>
      <c:overlay val="0"/>
    </c:title>
    <c:autoTitleDeleted val="0"/>
    <c:plotArea>
      <c:layout/>
      <c:barChart>
        <c:barDir val="col"/>
        <c:grouping val="clustered"/>
        <c:varyColors val="1"/>
        <c:ser>
          <c:idx val="0"/>
          <c:order val="0"/>
          <c:tx>
            <c:strRef>
              <c:f>Trend!$A$95</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Trend!$B$95:$K$95</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14C-4411-994F-19B996D50D54}"/>
            </c:ext>
          </c:extLst>
        </c:ser>
        <c:dLbls>
          <c:showLegendKey val="0"/>
          <c:showVal val="0"/>
          <c:showCatName val="0"/>
          <c:showSerName val="0"/>
          <c:showPercent val="0"/>
          <c:showBubbleSize val="0"/>
        </c:dLbls>
        <c:gapWidth val="0"/>
        <c:axId val="940571520"/>
        <c:axId val="11826032"/>
      </c:barChart>
      <c:lineChart>
        <c:grouping val="standard"/>
        <c:varyColors val="1"/>
        <c:ser>
          <c:idx val="1"/>
          <c:order val="1"/>
          <c:tx>
            <c:strRef>
              <c:f>Trend!$A$91</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Trend!$B$91:$K$91</c:f>
              <c:numCache>
                <c:formatCode>0.00"x"</c:formatCode>
                <c:ptCount val="10"/>
                <c:pt idx="0">
                  <c:v>0.86195613196270615</c:v>
                </c:pt>
                <c:pt idx="1">
                  <c:v>0.75984768405904157</c:v>
                </c:pt>
                <c:pt idx="2">
                  <c:v>0.79890806303806294</c:v>
                </c:pt>
                <c:pt idx="3">
                  <c:v>0.7945237177015041</c:v>
                </c:pt>
                <c:pt idx="4">
                  <c:v>0.97217334988396564</c:v>
                </c:pt>
                <c:pt idx="5">
                  <c:v>0.92779729683333523</c:v>
                </c:pt>
                <c:pt idx="6">
                  <c:v>0.82057094513980777</c:v>
                </c:pt>
                <c:pt idx="7">
                  <c:v>0.83186712113834338</c:v>
                </c:pt>
                <c:pt idx="8">
                  <c:v>0.82268284602004471</c:v>
                </c:pt>
                <c:pt idx="9">
                  <c:v>0.78975332421442468</c:v>
                </c:pt>
              </c:numCache>
            </c:numRef>
          </c:val>
          <c:smooth val="0"/>
          <c:extLst>
            <c:ext xmlns:c16="http://schemas.microsoft.com/office/drawing/2014/chart" uri="{C3380CC4-5D6E-409C-BE32-E72D297353CC}">
              <c16:uniqueId val="{00000001-714C-4411-994F-19B996D50D54}"/>
            </c:ext>
          </c:extLst>
        </c:ser>
        <c:ser>
          <c:idx val="2"/>
          <c:order val="2"/>
          <c:tx>
            <c:strRef>
              <c:f>Trend!$A$92</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Trend!$B$92:$K$92</c:f>
              <c:numCache>
                <c:formatCode>0.00"x"</c:formatCode>
                <c:ptCount val="10"/>
                <c:pt idx="0">
                  <c:v>0.97707865168539321</c:v>
                </c:pt>
                <c:pt idx="1">
                  <c:v>0.98982566447556442</c:v>
                </c:pt>
                <c:pt idx="2">
                  <c:v>1.0182174043962662</c:v>
                </c:pt>
                <c:pt idx="3">
                  <c:v>1.0106726341610364</c:v>
                </c:pt>
                <c:pt idx="4">
                  <c:v>1.1318628240218966</c:v>
                </c:pt>
                <c:pt idx="5">
                  <c:v>1.0021738392038313</c:v>
                </c:pt>
                <c:pt idx="6">
                  <c:v>1.0218138633664604</c:v>
                </c:pt>
                <c:pt idx="7">
                  <c:v>1.0683679242473871</c:v>
                </c:pt>
                <c:pt idx="8">
                  <c:v>0.96565531242950597</c:v>
                </c:pt>
                <c:pt idx="9">
                  <c:v>1.0342783227336423</c:v>
                </c:pt>
              </c:numCache>
            </c:numRef>
          </c:val>
          <c:smooth val="0"/>
          <c:extLst>
            <c:ext xmlns:c16="http://schemas.microsoft.com/office/drawing/2014/chart" uri="{C3380CC4-5D6E-409C-BE32-E72D297353CC}">
              <c16:uniqueId val="{00000002-714C-4411-994F-19B996D50D54}"/>
            </c:ext>
          </c:extLst>
        </c:ser>
        <c:ser>
          <c:idx val="3"/>
          <c:order val="3"/>
          <c:tx>
            <c:strRef>
              <c:f>Trend!$A$93</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Trend!$B$93:$K$93</c:f>
              <c:numCache>
                <c:formatCode>0.00"x"</c:formatCode>
                <c:ptCount val="10"/>
                <c:pt idx="0">
                  <c:v>0.80404354587869364</c:v>
                </c:pt>
                <c:pt idx="1">
                  <c:v>0.78305275762485027</c:v>
                </c:pt>
                <c:pt idx="2">
                  <c:v>0.75683060109289613</c:v>
                </c:pt>
                <c:pt idx="3">
                  <c:v>0.76458611247630415</c:v>
                </c:pt>
                <c:pt idx="4">
                  <c:v>0.81367955225823241</c:v>
                </c:pt>
                <c:pt idx="5">
                  <c:v>0.74581878331189122</c:v>
                </c:pt>
                <c:pt idx="6">
                  <c:v>0.73500406079591596</c:v>
                </c:pt>
                <c:pt idx="7">
                  <c:v>0.80632706439158053</c:v>
                </c:pt>
                <c:pt idx="8">
                  <c:v>0.95815558343789209</c:v>
                </c:pt>
                <c:pt idx="9">
                  <c:v>0.80102717031146453</c:v>
                </c:pt>
              </c:numCache>
            </c:numRef>
          </c:val>
          <c:smooth val="0"/>
          <c:extLst>
            <c:ext xmlns:c16="http://schemas.microsoft.com/office/drawing/2014/chart" uri="{C3380CC4-5D6E-409C-BE32-E72D297353CC}">
              <c16:uniqueId val="{00000003-714C-4411-994F-19B996D50D54}"/>
            </c:ext>
          </c:extLst>
        </c:ser>
        <c:ser>
          <c:idx val="4"/>
          <c:order val="4"/>
          <c:tx>
            <c:strRef>
              <c:f>Trend!$A$94</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Trend!$B$94:$K$94</c:f>
              <c:numCache>
                <c:formatCode>0.00"x"</c:formatCode>
                <c:ptCount val="10"/>
                <c:pt idx="0">
                  <c:v>1.4727815063385534</c:v>
                </c:pt>
                <c:pt idx="1">
                  <c:v>1.5830258302583027</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714C-4411-994F-19B996D50D5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Current ratio</a:t>
                </a:r>
              </a:p>
            </c:rich>
          </c:tx>
          <c:overlay val="0"/>
        </c:title>
        <c:numFmt formatCode="0.00&quot;x&quot;" sourceLinked="0"/>
        <c:majorTickMark val="none"/>
        <c:minorTickMark val="none"/>
        <c:tickLblPos val="nextTo"/>
        <c:crossAx val="10"/>
        <c:crosses val="autoZero"/>
        <c:crossBetween val="between"/>
      </c:valAx>
      <c:valAx>
        <c:axId val="1182603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940571520"/>
        <c:crosses val="max"/>
        <c:crossBetween val="between"/>
      </c:valAx>
      <c:catAx>
        <c:axId val="940571520"/>
        <c:scaling>
          <c:orientation val="minMax"/>
        </c:scaling>
        <c:delete val="1"/>
        <c:axPos val="b"/>
        <c:numFmt formatCode="General" sourceLinked="1"/>
        <c:majorTickMark val="out"/>
        <c:minorTickMark val="none"/>
        <c:tickLblPos val="nextTo"/>
        <c:crossAx val="1182603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Debt-to-equity, FY2016–FY2025</a:t>
            </a:r>
          </a:p>
        </c:rich>
      </c:tx>
      <c:overlay val="0"/>
    </c:title>
    <c:autoTitleDeleted val="0"/>
    <c:plotArea>
      <c:layout/>
      <c:barChart>
        <c:barDir val="col"/>
        <c:grouping val="clustered"/>
        <c:varyColors val="1"/>
        <c:ser>
          <c:idx val="0"/>
          <c:order val="0"/>
          <c:tx>
            <c:strRef>
              <c:f>Trend!$A$101</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Trend!$B$101:$K$101</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E79-4A8B-A450-0BC69C2ACB26}"/>
            </c:ext>
          </c:extLst>
        </c:ser>
        <c:dLbls>
          <c:showLegendKey val="0"/>
          <c:showVal val="0"/>
          <c:showCatName val="0"/>
          <c:showSerName val="0"/>
          <c:showPercent val="0"/>
          <c:showBubbleSize val="0"/>
        </c:dLbls>
        <c:gapWidth val="0"/>
        <c:axId val="940565952"/>
        <c:axId val="11830352"/>
      </c:barChart>
      <c:lineChart>
        <c:grouping val="standard"/>
        <c:varyColors val="1"/>
        <c:ser>
          <c:idx val="1"/>
          <c:order val="1"/>
          <c:tx>
            <c:strRef>
              <c:f>Trend!$A$97</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Trend!$B$97:$K$97</c:f>
              <c:numCache>
                <c:formatCode>0.0"x"</c:formatCode>
                <c:ptCount val="10"/>
                <c:pt idx="0">
                  <c:v>0.57041038057987214</c:v>
                </c:pt>
                <c:pt idx="1">
                  <c:v>0.57517755066689757</c:v>
                </c:pt>
                <c:pt idx="2">
                  <c:v>0.72874651530753198</c:v>
                </c:pt>
                <c:pt idx="3">
                  <c:v>0.66790514027859527</c:v>
                </c:pt>
                <c:pt idx="4">
                  <c:v>0.55832790668448895</c:v>
                </c:pt>
                <c:pt idx="5">
                  <c:v>0.46610658279918599</c:v>
                </c:pt>
                <c:pt idx="6">
                  <c:v>0.53277455405114982</c:v>
                </c:pt>
                <c:pt idx="7">
                  <c:v>0.51899855006696261</c:v>
                </c:pt>
                <c:pt idx="8">
                  <c:v>0.47002186386918632</c:v>
                </c:pt>
                <c:pt idx="9">
                  <c:v>0.48658475544684426</c:v>
                </c:pt>
              </c:numCache>
            </c:numRef>
          </c:val>
          <c:smooth val="0"/>
          <c:extLst>
            <c:ext xmlns:c16="http://schemas.microsoft.com/office/drawing/2014/chart" uri="{C3380CC4-5D6E-409C-BE32-E72D297353CC}">
              <c16:uniqueId val="{00000001-8E79-4A8B-A450-0BC69C2ACB26}"/>
            </c:ext>
          </c:extLst>
        </c:ser>
        <c:ser>
          <c:idx val="2"/>
          <c:order val="2"/>
          <c:tx>
            <c:strRef>
              <c:f>Trend!$A$98</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Trend!$B$98:$K$98</c:f>
              <c:numCache>
                <c:formatCode>0.0"x"</c:formatCode>
                <c:ptCount val="10"/>
                <c:pt idx="0">
                  <c:v>0.44883230619526437</c:v>
                </c:pt>
                <c:pt idx="1">
                  <c:v>0.63534615037458253</c:v>
                </c:pt>
                <c:pt idx="2">
                  <c:v>0.53224452415477375</c:v>
                </c:pt>
                <c:pt idx="3">
                  <c:v>0.46483572895277209</c:v>
                </c:pt>
                <c:pt idx="4">
                  <c:v>0.44357123763699546</c:v>
                </c:pt>
                <c:pt idx="5">
                  <c:v>0.47256333665228456</c:v>
                </c:pt>
                <c:pt idx="6">
                  <c:v>0.39642563084225313</c:v>
                </c:pt>
                <c:pt idx="7">
                  <c:v>0.31486950275361164</c:v>
                </c:pt>
                <c:pt idx="8">
                  <c:v>0.31305562611125221</c:v>
                </c:pt>
                <c:pt idx="9">
                  <c:v>0.24917706761761074</c:v>
                </c:pt>
              </c:numCache>
            </c:numRef>
          </c:val>
          <c:smooth val="0"/>
          <c:extLst>
            <c:ext xmlns:c16="http://schemas.microsoft.com/office/drawing/2014/chart" uri="{C3380CC4-5D6E-409C-BE32-E72D297353CC}">
              <c16:uniqueId val="{00000002-8E79-4A8B-A450-0BC69C2ACB26}"/>
            </c:ext>
          </c:extLst>
        </c:ser>
        <c:ser>
          <c:idx val="3"/>
          <c:order val="3"/>
          <c:tx>
            <c:strRef>
              <c:f>Trend!$A$99</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Trend!$B$99:$K$99</c:f>
              <c:numCache>
                <c:formatCode>0.0"x"</c:formatCode>
                <c:ptCount val="10"/>
                <c:pt idx="0">
                  <c:v>2.0979135618479883</c:v>
                </c:pt>
                <c:pt idx="1">
                  <c:v>2.2576393917451121</c:v>
                </c:pt>
                <c:pt idx="2">
                  <c:v>1.9437141033822591</c:v>
                </c:pt>
                <c:pt idx="3">
                  <c:v>1.6418989851860493</c:v>
                </c:pt>
                <c:pt idx="4">
                  <c:v>1.4045026178010471</c:v>
                </c:pt>
                <c:pt idx="5">
                  <c:v>1.4173295153250609</c:v>
                </c:pt>
                <c:pt idx="6">
                  <c:v>1.3359296984222089</c:v>
                </c:pt>
                <c:pt idx="7">
                  <c:v>1.053874665977071</c:v>
                </c:pt>
                <c:pt idx="8">
                  <c:v>2.1621784808597995</c:v>
                </c:pt>
                <c:pt idx="9">
                  <c:v>2.9592318059299192</c:v>
                </c:pt>
              </c:numCache>
            </c:numRef>
          </c:val>
          <c:smooth val="0"/>
          <c:extLst>
            <c:ext xmlns:c16="http://schemas.microsoft.com/office/drawing/2014/chart" uri="{C3380CC4-5D6E-409C-BE32-E72D297353CC}">
              <c16:uniqueId val="{00000003-8E79-4A8B-A450-0BC69C2ACB26}"/>
            </c:ext>
          </c:extLst>
        </c:ser>
        <c:ser>
          <c:idx val="4"/>
          <c:order val="4"/>
          <c:tx>
            <c:strRef>
              <c:f>Trend!$A$100</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Trend!$B$100:$K$100</c:f>
              <c:numCache>
                <c:formatCode>0.0"x"</c:formatCode>
                <c:ptCount val="10"/>
                <c:pt idx="0">
                  <c:v>0.32599255583126552</c:v>
                </c:pt>
                <c:pt idx="1">
                  <c:v>0.31574344023323614</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4-8E79-4A8B-A450-0BC69C2AC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Debt-to-equity</a:t>
                </a:r>
              </a:p>
            </c:rich>
          </c:tx>
          <c:overlay val="0"/>
        </c:title>
        <c:numFmt formatCode="0.0&quot;x&quot;" sourceLinked="0"/>
        <c:majorTickMark val="none"/>
        <c:minorTickMark val="none"/>
        <c:tickLblPos val="nextTo"/>
        <c:crossAx val="10"/>
        <c:crosses val="autoZero"/>
        <c:crossBetween val="between"/>
      </c:valAx>
      <c:valAx>
        <c:axId val="1183035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940565952"/>
        <c:crosses val="max"/>
        <c:crossBetween val="between"/>
      </c:valAx>
      <c:catAx>
        <c:axId val="940565952"/>
        <c:scaling>
          <c:orientation val="minMax"/>
        </c:scaling>
        <c:delete val="1"/>
        <c:axPos val="b"/>
        <c:numFmt formatCode="General" sourceLinked="1"/>
        <c:majorTickMark val="out"/>
        <c:minorTickMark val="none"/>
        <c:tickLblPos val="nextTo"/>
        <c:crossAx val="1183035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Revenue growth YoY, FY2016–FY2025</a:t>
            </a:r>
          </a:p>
        </c:rich>
      </c:tx>
      <c:overlay val="0"/>
    </c:title>
    <c:autoTitleDeleted val="0"/>
    <c:plotArea>
      <c:layout/>
      <c:barChart>
        <c:barDir val="col"/>
        <c:grouping val="clustered"/>
        <c:varyColors val="1"/>
        <c:ser>
          <c:idx val="0"/>
          <c:order val="0"/>
          <c:tx>
            <c:strRef>
              <c:f>Trend!$A$108</c:f>
              <c:strCache>
                <c:ptCount val="1"/>
                <c:pt idx="0">
                  <c:v>FY2020–23 window</c:v>
                </c:pt>
              </c:strCache>
            </c:strRef>
          </c:tx>
          <c:spPr>
            <a:solidFill>
              <a:srgbClr val="E7E6E6"/>
            </a:solidFill>
            <a:ln>
              <a:noFill/>
              <a:prstDash val="solid"/>
            </a:ln>
          </c:spPr>
          <c:invertIfNegative val="1"/>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Trend!$B$108:$K$108</c:f>
              <c:numCache>
                <c:formatCode>General</c:formatCode>
                <c:ptCount val="10"/>
                <c:pt idx="0">
                  <c:v>#N/A</c:v>
                </c:pt>
                <c:pt idx="1">
                  <c:v>#N/A</c:v>
                </c:pt>
                <c:pt idx="2">
                  <c:v>#N/A</c:v>
                </c:pt>
                <c:pt idx="3">
                  <c:v>#N/A</c:v>
                </c:pt>
                <c:pt idx="4">
                  <c:v>1</c:v>
                </c:pt>
                <c:pt idx="5">
                  <c:v>1</c:v>
                </c:pt>
                <c:pt idx="6">
                  <c:v>1</c:v>
                </c:pt>
                <c:pt idx="7">
                  <c:v>1</c:v>
                </c:pt>
                <c:pt idx="8">
                  <c:v>#N/A</c:v>
                </c:pt>
                <c:pt idx="9">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60B3-4FE8-9EF8-8FA9606D56BA}"/>
            </c:ext>
          </c:extLst>
        </c:ser>
        <c:dLbls>
          <c:showLegendKey val="0"/>
          <c:showVal val="0"/>
          <c:showCatName val="0"/>
          <c:showSerName val="0"/>
          <c:showPercent val="0"/>
          <c:showBubbleSize val="0"/>
        </c:dLbls>
        <c:gapWidth val="0"/>
        <c:axId val="940568272"/>
        <c:axId val="11834672"/>
      </c:barChart>
      <c:lineChart>
        <c:grouping val="standard"/>
        <c:varyColors val="1"/>
        <c:ser>
          <c:idx val="1"/>
          <c:order val="1"/>
          <c:tx>
            <c:strRef>
              <c:f>Trend!$A$103</c:f>
              <c:strCache>
                <c:ptCount val="1"/>
                <c:pt idx="0">
                  <c:v>Walmart</c:v>
                </c:pt>
              </c:strCache>
            </c:strRef>
          </c:tx>
          <c:spPr>
            <a:ln w="28575">
              <a:solidFill>
                <a:srgbClr val="1F77B4"/>
              </a:solidFill>
              <a:prstDash val="solid"/>
            </a:ln>
          </c:spPr>
          <c:marker>
            <c:symbol val="circle"/>
            <c:size val="5"/>
            <c:spPr>
              <a:solidFill>
                <a:srgbClr val="1F77B4"/>
              </a:solidFill>
              <a:ln>
                <a:solidFill>
                  <a:srgbClr val="1F77B4"/>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Trend!$B$103:$K$103</c:f>
              <c:numCache>
                <c:formatCode>0%</c:formatCode>
                <c:ptCount val="10"/>
                <c:pt idx="0">
                  <c:v>5.6475573217666941E-3</c:v>
                </c:pt>
                <c:pt idx="1">
                  <c:v>3.000932857139893E-2</c:v>
                </c:pt>
                <c:pt idx="2">
                  <c:v>2.9385127107618425E-2</c:v>
                </c:pt>
                <c:pt idx="3">
                  <c:v>1.8805515657546401E-2</c:v>
                </c:pt>
                <c:pt idx="4">
                  <c:v>6.7907740716948162E-2</c:v>
                </c:pt>
                <c:pt idx="5">
                  <c:v>2.2565301414001038E-2</c:v>
                </c:pt>
                <c:pt idx="6">
                  <c:v>6.7139047699564358E-2</c:v>
                </c:pt>
                <c:pt idx="7">
                  <c:v>6.0665378184824981E-2</c:v>
                </c:pt>
                <c:pt idx="8">
                  <c:v>4.9640776986074497E-2</c:v>
                </c:pt>
                <c:pt idx="9">
                  <c:v>4.7254565346948496E-2</c:v>
                </c:pt>
              </c:numCache>
            </c:numRef>
          </c:val>
          <c:smooth val="0"/>
          <c:extLst>
            <c:ext xmlns:c16="http://schemas.microsoft.com/office/drawing/2014/chart" uri="{C3380CC4-5D6E-409C-BE32-E72D297353CC}">
              <c16:uniqueId val="{00000001-60B3-4FE8-9EF8-8FA9606D56BA}"/>
            </c:ext>
          </c:extLst>
        </c:ser>
        <c:ser>
          <c:idx val="2"/>
          <c:order val="2"/>
          <c:tx>
            <c:strRef>
              <c:f>Trend!$A$104</c:f>
              <c:strCache>
                <c:ptCount val="1"/>
                <c:pt idx="0">
                  <c:v>Costco</c:v>
                </c:pt>
              </c:strCache>
            </c:strRef>
          </c:tx>
          <c:spPr>
            <a:ln w="28575">
              <a:solidFill>
                <a:srgbClr val="D62728"/>
              </a:solidFill>
              <a:prstDash val="solid"/>
            </a:ln>
          </c:spPr>
          <c:marker>
            <c:symbol val="circle"/>
            <c:size val="5"/>
            <c:spPr>
              <a:solidFill>
                <a:srgbClr val="D62728"/>
              </a:solidFill>
              <a:ln>
                <a:solidFill>
                  <a:srgbClr val="D62728"/>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Trend!$B$104:$K$104</c:f>
              <c:numCache>
                <c:formatCode>0%</c:formatCode>
                <c:ptCount val="10"/>
                <c:pt idx="0">
                  <c:v>2.1176077279045691E-2</c:v>
                </c:pt>
                <c:pt idx="1">
                  <c:v>8.7005591308917607E-2</c:v>
                </c:pt>
                <c:pt idx="2">
                  <c:v>9.7184795358716602E-2</c:v>
                </c:pt>
                <c:pt idx="3">
                  <c:v>7.8860684513919921E-2</c:v>
                </c:pt>
                <c:pt idx="4">
                  <c:v>9.2861781976685709E-2</c:v>
                </c:pt>
                <c:pt idx="5">
                  <c:v>0.17664501899277041</c:v>
                </c:pt>
                <c:pt idx="6">
                  <c:v>0.15973798762835067</c:v>
                </c:pt>
                <c:pt idx="7">
                  <c:v>6.72563193103759E-2</c:v>
                </c:pt>
                <c:pt idx="8">
                  <c:v>5.0124100795086557E-2</c:v>
                </c:pt>
                <c:pt idx="9">
                  <c:v>8.1269904857286024E-2</c:v>
                </c:pt>
              </c:numCache>
            </c:numRef>
          </c:val>
          <c:smooth val="0"/>
          <c:extLst>
            <c:ext xmlns:c16="http://schemas.microsoft.com/office/drawing/2014/chart" uri="{C3380CC4-5D6E-409C-BE32-E72D297353CC}">
              <c16:uniqueId val="{00000002-60B3-4FE8-9EF8-8FA9606D56BA}"/>
            </c:ext>
          </c:extLst>
        </c:ser>
        <c:ser>
          <c:idx val="3"/>
          <c:order val="3"/>
          <c:tx>
            <c:strRef>
              <c:f>Trend!$A$105</c:f>
              <c:strCache>
                <c:ptCount val="1"/>
                <c:pt idx="0">
                  <c:v>Kroger</c:v>
                </c:pt>
              </c:strCache>
            </c:strRef>
          </c:tx>
          <c:spPr>
            <a:ln w="28575">
              <a:solidFill>
                <a:srgbClr val="2CA02C"/>
              </a:solidFill>
              <a:prstDash val="solid"/>
            </a:ln>
          </c:spPr>
          <c:marker>
            <c:symbol val="circle"/>
            <c:size val="5"/>
            <c:spPr>
              <a:solidFill>
                <a:srgbClr val="2CA02C"/>
              </a:solidFill>
              <a:ln>
                <a:solidFill>
                  <a:srgbClr val="2CA02C"/>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Trend!$B$105:$K$105</c:f>
              <c:numCache>
                <c:formatCode>0%</c:formatCode>
                <c:ptCount val="10"/>
                <c:pt idx="0">
                  <c:v>5.0141127196576596E-2</c:v>
                </c:pt>
                <c:pt idx="1">
                  <c:v>6.8867752759305345E-2</c:v>
                </c:pt>
                <c:pt idx="2">
                  <c:v>-1.158338741077225E-2</c:v>
                </c:pt>
                <c:pt idx="3">
                  <c:v>3.5616977973278452E-3</c:v>
                </c:pt>
                <c:pt idx="4">
                  <c:v>8.3509150679554445E-2</c:v>
                </c:pt>
                <c:pt idx="5">
                  <c:v>4.0679859318631273E-2</c:v>
                </c:pt>
                <c:pt idx="6">
                  <c:v>7.5205964260849356E-2</c:v>
                </c:pt>
                <c:pt idx="7">
                  <c:v>1.2012842477303165E-2</c:v>
                </c:pt>
                <c:pt idx="8">
                  <c:v>-1.9434946913802431E-2</c:v>
                </c:pt>
                <c:pt idx="9">
                  <c:v>3.5276605289451535E-3</c:v>
                </c:pt>
              </c:numCache>
            </c:numRef>
          </c:val>
          <c:smooth val="0"/>
          <c:extLst>
            <c:ext xmlns:c16="http://schemas.microsoft.com/office/drawing/2014/chart" uri="{C3380CC4-5D6E-409C-BE32-E72D297353CC}">
              <c16:uniqueId val="{00000003-60B3-4FE8-9EF8-8FA9606D56BA}"/>
            </c:ext>
          </c:extLst>
        </c:ser>
        <c:ser>
          <c:idx val="4"/>
          <c:order val="4"/>
          <c:tx>
            <c:strRef>
              <c:f>Trend!$A$106</c:f>
              <c:strCache>
                <c:ptCount val="1"/>
                <c:pt idx="0">
                  <c:v>Sam's Club</c:v>
                </c:pt>
              </c:strCache>
            </c:strRef>
          </c:tx>
          <c:spPr>
            <a:ln w="28575">
              <a:solidFill>
                <a:srgbClr val="9467BD"/>
              </a:solidFill>
              <a:prstDash val="solid"/>
            </a:ln>
          </c:spPr>
          <c:marker>
            <c:symbol val="circle"/>
            <c:size val="5"/>
            <c:spPr>
              <a:solidFill>
                <a:srgbClr val="9467BD"/>
              </a:solidFill>
              <a:ln>
                <a:solidFill>
                  <a:srgbClr val="9467BD"/>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Trend!$B$106:$K$106</c:f>
              <c:numCache>
                <c:formatCode>0%</c:formatCode>
                <c:ptCount val="10"/>
                <c:pt idx="0">
                  <c:v>9.4495671148024929E-3</c:v>
                </c:pt>
                <c:pt idx="1">
                  <c:v>3.226706179726313E-2</c:v>
                </c:pt>
                <c:pt idx="2">
                  <c:v>-2.3253850310726798E-2</c:v>
                </c:pt>
                <c:pt idx="3">
                  <c:v>1.6476771728418438E-2</c:v>
                </c:pt>
                <c:pt idx="4">
                  <c:v>8.7052660225880985E-2</c:v>
                </c:pt>
                <c:pt idx="5">
                  <c:v>0.15093099671412924</c:v>
                </c:pt>
                <c:pt idx="6">
                  <c:v>0.14667736146609389</c:v>
                </c:pt>
                <c:pt idx="7">
                  <c:v>2.1744027506076291E-2</c:v>
                </c:pt>
                <c:pt idx="8">
                  <c:v>4.7099641443971274E-2</c:v>
                </c:pt>
                <c:pt idx="9">
                  <c:v>3.077417495955137E-2</c:v>
                </c:pt>
              </c:numCache>
            </c:numRef>
          </c:val>
          <c:smooth val="0"/>
          <c:extLst>
            <c:ext xmlns:c16="http://schemas.microsoft.com/office/drawing/2014/chart" uri="{C3380CC4-5D6E-409C-BE32-E72D297353CC}">
              <c16:uniqueId val="{00000004-60B3-4FE8-9EF8-8FA9606D56BA}"/>
            </c:ext>
          </c:extLst>
        </c:ser>
        <c:ser>
          <c:idx val="5"/>
          <c:order val="5"/>
          <c:tx>
            <c:strRef>
              <c:f>Trend!$A$107</c:f>
              <c:strCache>
                <c:ptCount val="1"/>
                <c:pt idx="0">
                  <c:v>Whole Foods</c:v>
                </c:pt>
              </c:strCache>
            </c:strRef>
          </c:tx>
          <c:spPr>
            <a:ln w="28575">
              <a:solidFill>
                <a:srgbClr val="FF7F0E"/>
              </a:solidFill>
              <a:prstDash val="solid"/>
            </a:ln>
          </c:spPr>
          <c:marker>
            <c:symbol val="circle"/>
            <c:size val="5"/>
            <c:spPr>
              <a:solidFill>
                <a:srgbClr val="FF7F0E"/>
              </a:solidFill>
              <a:ln>
                <a:solidFill>
                  <a:srgbClr val="FF7F0E"/>
                </a:solidFill>
                <a:prstDash val="solid"/>
              </a:ln>
            </c:spPr>
          </c:marker>
          <c:cat>
            <c:strRef>
              <c:f>Trend!$B$70:$K$70</c:f>
              <c:strCache>
                <c:ptCount val="10"/>
                <c:pt idx="0">
                  <c:v>FY2016</c:v>
                </c:pt>
                <c:pt idx="1">
                  <c:v>FY2017</c:v>
                </c:pt>
                <c:pt idx="2">
                  <c:v>FY2018</c:v>
                </c:pt>
                <c:pt idx="3">
                  <c:v>FY2019</c:v>
                </c:pt>
                <c:pt idx="4">
                  <c:v>FY2020</c:v>
                </c:pt>
                <c:pt idx="5">
                  <c:v>FY2021</c:v>
                </c:pt>
                <c:pt idx="6">
                  <c:v>FY2022</c:v>
                </c:pt>
                <c:pt idx="7">
                  <c:v>FY2023</c:v>
                </c:pt>
                <c:pt idx="8">
                  <c:v>FY2024</c:v>
                </c:pt>
                <c:pt idx="9">
                  <c:v>FY2025</c:v>
                </c:pt>
              </c:strCache>
            </c:strRef>
          </c:cat>
          <c:val>
            <c:numRef>
              <c:f>Trend!$B$107:$K$107</c:f>
              <c:numCache>
                <c:formatCode>0%</c:formatCode>
                <c:ptCount val="10"/>
                <c:pt idx="0">
                  <c:v>2.1768795893170489E-2</c:v>
                </c:pt>
                <c:pt idx="1">
                  <c:v>1.9460697023658158E-2</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5-60B3-4FE8-9EF8-8FA9606D56BA}"/>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low"/>
        <c:crossAx val="100"/>
        <c:crosses val="autoZero"/>
        <c:auto val="1"/>
        <c:lblAlgn val="ctr"/>
        <c:lblOffset val="100"/>
        <c:noMultiLvlLbl val="1"/>
      </c:catAx>
      <c:valAx>
        <c:axId val="100"/>
        <c:scaling>
          <c:orientation val="minMax"/>
        </c:scaling>
        <c:delete val="0"/>
        <c:axPos val="l"/>
        <c:majorGridlines>
          <c:spPr>
            <a:ln>
              <a:solidFill>
                <a:srgbClr val="D9D9D9"/>
              </a:solidFill>
            </a:ln>
          </c:spPr>
        </c:majorGridlines>
        <c:title>
          <c:tx>
            <c:rich>
              <a:bodyPr/>
              <a:lstStyle/>
              <a:p>
                <a:pPr>
                  <a:defRPr/>
                </a:pPr>
                <a:r>
                  <a:t>Revenue growth YoY</a:t>
                </a:r>
              </a:p>
            </c:rich>
          </c:tx>
          <c:overlay val="0"/>
        </c:title>
        <c:numFmt formatCode="0%" sourceLinked="0"/>
        <c:majorTickMark val="none"/>
        <c:minorTickMark val="none"/>
        <c:tickLblPos val="nextTo"/>
        <c:crossAx val="10"/>
        <c:crosses val="autoZero"/>
        <c:crossBetween val="between"/>
      </c:valAx>
      <c:valAx>
        <c:axId val="11834672"/>
        <c:scaling>
          <c:orientation val="minMax"/>
          <c:max val="1"/>
          <c:min val="0"/>
        </c:scaling>
        <c:delete val="0"/>
        <c:axPos val="r"/>
        <c:numFmt formatCode="General" sourceLinked="1"/>
        <c:majorTickMark val="none"/>
        <c:minorTickMark val="none"/>
        <c:tickLblPos val="none"/>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hade val="95000"/>
                    <a:satMod val="105000"/>
                  </a:sysClr>
                </a:solidFill>
                <a:prstDash val="solid"/>
                <a:round/>
              </a14:hiddenLine>
            </a:ext>
          </a:extLst>
        </c:spPr>
        <c:crossAx val="940568272"/>
        <c:crosses val="max"/>
        <c:crossBetween val="between"/>
      </c:valAx>
      <c:catAx>
        <c:axId val="940568272"/>
        <c:scaling>
          <c:orientation val="minMax"/>
        </c:scaling>
        <c:delete val="1"/>
        <c:axPos val="b"/>
        <c:numFmt formatCode="General" sourceLinked="1"/>
        <c:majorTickMark val="out"/>
        <c:minorTickMark val="none"/>
        <c:tickLblPos val="nextTo"/>
        <c:crossAx val="11834672"/>
        <c:auto val="1"/>
        <c:lblAlgn val="ctr"/>
        <c:lblOffset val="100"/>
        <c:noMultiLvlLbl val="0"/>
      </c:cat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5760000" cy="36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3</xdr:row>
      <xdr:rowOff>0</xdr:rowOff>
    </xdr:from>
    <xdr:ext cx="5760000" cy="360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24</xdr:row>
      <xdr:rowOff>0</xdr:rowOff>
    </xdr:from>
    <xdr:ext cx="5760000" cy="3600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24</xdr:row>
      <xdr:rowOff>0</xdr:rowOff>
    </xdr:from>
    <xdr:ext cx="5760000" cy="3600000"/>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45</xdr:row>
      <xdr:rowOff>0</xdr:rowOff>
    </xdr:from>
    <xdr:ext cx="5760000" cy="3600000"/>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10</xdr:col>
      <xdr:colOff>0</xdr:colOff>
      <xdr:row>45</xdr:row>
      <xdr:rowOff>0</xdr:rowOff>
    </xdr:from>
    <xdr:ext cx="5760000" cy="3600000"/>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sec.gov/Archives/edgar/data/909832/000090983223000042/" TargetMode="External"/><Relationship Id="rId21" Type="http://schemas.openxmlformats.org/officeDocument/2006/relationships/hyperlink" Target="https://www.sec.gov/Archives/edgar/data/909832/000090983225000101/" TargetMode="External"/><Relationship Id="rId324" Type="http://schemas.openxmlformats.org/officeDocument/2006/relationships/hyperlink" Target="https://www.sec.gov/Archives/edgar/data/56873/000155837022004595/" TargetMode="External"/><Relationship Id="rId531" Type="http://schemas.openxmlformats.org/officeDocument/2006/relationships/hyperlink" Target="https://www.sec.gov/Archives/edgar/data/104169/000010416921000033/" TargetMode="External"/><Relationship Id="rId629" Type="http://schemas.openxmlformats.org/officeDocument/2006/relationships/hyperlink" Target="https://www.sec.gov/Archives/edgar/data/104169/000010416920000011/" TargetMode="External"/><Relationship Id="rId170" Type="http://schemas.openxmlformats.org/officeDocument/2006/relationships/hyperlink" Target="https://www.sec.gov/Archives/edgar/data/909832/000090983225000101/" TargetMode="External"/><Relationship Id="rId268" Type="http://schemas.openxmlformats.org/officeDocument/2006/relationships/hyperlink" Target="https://www.sec.gov/Archives/edgar/data/56873/000155837025004267/" TargetMode="External"/><Relationship Id="rId475" Type="http://schemas.openxmlformats.org/officeDocument/2006/relationships/hyperlink" Target="https://www.sec.gov/Archives/edgar/data/104169/000010416921000033/" TargetMode="External"/><Relationship Id="rId32" Type="http://schemas.openxmlformats.org/officeDocument/2006/relationships/hyperlink" Target="https://www.sec.gov/Archives/edgar/data/909832/000090983225000101/" TargetMode="External"/><Relationship Id="rId128" Type="http://schemas.openxmlformats.org/officeDocument/2006/relationships/hyperlink" Target="https://www.sec.gov/Archives/edgar/data/909832/000090983223000042/" TargetMode="External"/><Relationship Id="rId335" Type="http://schemas.openxmlformats.org/officeDocument/2006/relationships/hyperlink" Target="https://www.sec.gov/Archives/edgar/data/56873/000110465926037723/" TargetMode="External"/><Relationship Id="rId542" Type="http://schemas.openxmlformats.org/officeDocument/2006/relationships/hyperlink" Target="https://www.sec.gov/Archives/edgar/data/104169/000010416922000012/" TargetMode="External"/><Relationship Id="rId181" Type="http://schemas.openxmlformats.org/officeDocument/2006/relationships/hyperlink" Target="https://www.sec.gov/Archives/edgar/data/909832/000090983225000101/" TargetMode="External"/><Relationship Id="rId402" Type="http://schemas.openxmlformats.org/officeDocument/2006/relationships/hyperlink" Target="https://www.sec.gov/Archives/edgar/data/104169/000010416926000055/" TargetMode="External"/><Relationship Id="rId279" Type="http://schemas.openxmlformats.org/officeDocument/2006/relationships/hyperlink" Target="https://www.sec.gov/Archives/edgar/data/56873/000155837017002198/" TargetMode="External"/><Relationship Id="rId486" Type="http://schemas.openxmlformats.org/officeDocument/2006/relationships/hyperlink" Target="https://www.sec.gov/Archives/edgar/data/104169/000010416921000033/" TargetMode="External"/><Relationship Id="rId43" Type="http://schemas.openxmlformats.org/officeDocument/2006/relationships/hyperlink" Target="https://www.sec.gov/Archives/edgar/data/909832/000090983225000101/" TargetMode="External"/><Relationship Id="rId139" Type="http://schemas.openxmlformats.org/officeDocument/2006/relationships/hyperlink" Target="https://www.sec.gov/Archives/edgar/data/909832/000090983223000042/" TargetMode="External"/><Relationship Id="rId346" Type="http://schemas.openxmlformats.org/officeDocument/2006/relationships/hyperlink" Target="https://www.sec.gov/Archives/edgar/data/56873/000155837020003501/" TargetMode="External"/><Relationship Id="rId553" Type="http://schemas.openxmlformats.org/officeDocument/2006/relationships/hyperlink" Target="https://www.sec.gov/Archives/edgar/data/104169/000010416922000012/" TargetMode="External"/><Relationship Id="rId192" Type="http://schemas.openxmlformats.org/officeDocument/2006/relationships/hyperlink" Target="https://www.sec.gov/Archives/edgar/data/909832/000090983225000101/" TargetMode="External"/><Relationship Id="rId206" Type="http://schemas.openxmlformats.org/officeDocument/2006/relationships/hyperlink" Target="https://www.sec.gov/Archives/edgar/data/56873/000155837019002756/" TargetMode="External"/><Relationship Id="rId413" Type="http://schemas.openxmlformats.org/officeDocument/2006/relationships/hyperlink" Target="https://www.sec.gov/Archives/edgar/data/104169/000010416926000055/" TargetMode="External"/><Relationship Id="rId497" Type="http://schemas.openxmlformats.org/officeDocument/2006/relationships/hyperlink" Target="https://www.sec.gov/Archives/edgar/data/104169/000010416921000033/" TargetMode="External"/><Relationship Id="rId620" Type="http://schemas.openxmlformats.org/officeDocument/2006/relationships/hyperlink" Target="https://www.sec.gov/Archives/edgar/data/104169/000010416923000020/" TargetMode="External"/><Relationship Id="rId357" Type="http://schemas.openxmlformats.org/officeDocument/2006/relationships/hyperlink" Target="https://www.sec.gov/Archives/edgar/data/56873/000155837019002756/" TargetMode="External"/><Relationship Id="rId54" Type="http://schemas.openxmlformats.org/officeDocument/2006/relationships/hyperlink" Target="https://www.sec.gov/Archives/edgar/data/909832/000090983225000101/" TargetMode="External"/><Relationship Id="rId217" Type="http://schemas.openxmlformats.org/officeDocument/2006/relationships/hyperlink" Target="https://www.sec.gov/Archives/edgar/data/56873/000155837019002756/" TargetMode="External"/><Relationship Id="rId564" Type="http://schemas.openxmlformats.org/officeDocument/2006/relationships/hyperlink" Target="https://www.sec.gov/Archives/edgar/data/104169/000010416922000012/" TargetMode="External"/><Relationship Id="rId424" Type="http://schemas.openxmlformats.org/officeDocument/2006/relationships/hyperlink" Target="https://www.sec.gov/Archives/edgar/data/865436/000086543617000238/" TargetMode="External"/><Relationship Id="rId631" Type="http://schemas.openxmlformats.org/officeDocument/2006/relationships/hyperlink" Target="https://www.sec.gov/Archives/edgar/data/104169/000010416922000012/" TargetMode="External"/><Relationship Id="rId270" Type="http://schemas.openxmlformats.org/officeDocument/2006/relationships/hyperlink" Target="https://www.sec.gov/Archives/edgar/data/56873/000110465926037723/" TargetMode="External"/><Relationship Id="rId65" Type="http://schemas.openxmlformats.org/officeDocument/2006/relationships/hyperlink" Target="https://www.sec.gov/Archives/edgar/data/909832/000090983217000014/" TargetMode="External"/><Relationship Id="rId130" Type="http://schemas.openxmlformats.org/officeDocument/2006/relationships/hyperlink" Target="https://www.sec.gov/Archives/edgar/data/909832/000090983225000101/" TargetMode="External"/><Relationship Id="rId368" Type="http://schemas.openxmlformats.org/officeDocument/2006/relationships/hyperlink" Target="https://www.sec.gov/Archives/edgar/data/56873/000155837021003706/" TargetMode="External"/><Relationship Id="rId575" Type="http://schemas.openxmlformats.org/officeDocument/2006/relationships/hyperlink" Target="https://www.sec.gov/Archives/edgar/data/104169/000010416923000020/" TargetMode="External"/><Relationship Id="rId228" Type="http://schemas.openxmlformats.org/officeDocument/2006/relationships/hyperlink" Target="https://www.sec.gov/Archives/edgar/data/56873/000155837019002756/" TargetMode="External"/><Relationship Id="rId435" Type="http://schemas.openxmlformats.org/officeDocument/2006/relationships/hyperlink" Target="https://www.sec.gov/Archives/edgar/data/865436/000086543617000238/" TargetMode="External"/><Relationship Id="rId642" Type="http://schemas.openxmlformats.org/officeDocument/2006/relationships/hyperlink" Target="https://www.sec.gov/Archives/edgar/data/104169/000010416923000020/" TargetMode="External"/><Relationship Id="rId281" Type="http://schemas.openxmlformats.org/officeDocument/2006/relationships/hyperlink" Target="https://www.sec.gov/Archives/edgar/data/56873/000155837019002756/" TargetMode="External"/><Relationship Id="rId502" Type="http://schemas.openxmlformats.org/officeDocument/2006/relationships/hyperlink" Target="https://www.sec.gov/Archives/edgar/data/104169/000010416926000055/" TargetMode="External"/><Relationship Id="rId76" Type="http://schemas.openxmlformats.org/officeDocument/2006/relationships/hyperlink" Target="https://www.sec.gov/Archives/edgar/data/909832/000090983216000032/" TargetMode="External"/><Relationship Id="rId141" Type="http://schemas.openxmlformats.org/officeDocument/2006/relationships/hyperlink" Target="https://www.sec.gov/Archives/edgar/data/909832/000090983225000101/" TargetMode="External"/><Relationship Id="rId379" Type="http://schemas.openxmlformats.org/officeDocument/2006/relationships/hyperlink" Target="https://www.sec.gov/Archives/edgar/data/104169/000010416926000055/" TargetMode="External"/><Relationship Id="rId586" Type="http://schemas.openxmlformats.org/officeDocument/2006/relationships/hyperlink" Target="https://www.sec.gov/Archives/edgar/data/104169/000010416923000020/" TargetMode="External"/><Relationship Id="rId7" Type="http://schemas.openxmlformats.org/officeDocument/2006/relationships/hyperlink" Target="https://www.sec.gov/Archives/edgar/data/1018724/000101872425000004/" TargetMode="External"/><Relationship Id="rId239" Type="http://schemas.openxmlformats.org/officeDocument/2006/relationships/hyperlink" Target="https://www.sec.gov/Archives/edgar/data/56873/000155837022004595/" TargetMode="External"/><Relationship Id="rId446" Type="http://schemas.openxmlformats.org/officeDocument/2006/relationships/hyperlink" Target="https://www.sec.gov/Archives/edgar/data/865436/000086543617000238/" TargetMode="External"/><Relationship Id="rId653" Type="http://schemas.openxmlformats.org/officeDocument/2006/relationships/hyperlink" Target="https://www.sec.gov/Archives/edgar/data/104169/000010416924000056/" TargetMode="External"/><Relationship Id="rId292" Type="http://schemas.openxmlformats.org/officeDocument/2006/relationships/hyperlink" Target="https://www.sec.gov/Archives/edgar/data/56873/000155837019002756/" TargetMode="External"/><Relationship Id="rId306" Type="http://schemas.openxmlformats.org/officeDocument/2006/relationships/hyperlink" Target="https://www.sec.gov/Archives/edgar/data/56873/000155837023004767/" TargetMode="External"/><Relationship Id="rId87" Type="http://schemas.openxmlformats.org/officeDocument/2006/relationships/hyperlink" Target="https://www.sec.gov/Archives/edgar/data/909832/000090983216000032/" TargetMode="External"/><Relationship Id="rId513" Type="http://schemas.openxmlformats.org/officeDocument/2006/relationships/hyperlink" Target="https://www.sec.gov/Archives/edgar/data/104169/000010416926000055/" TargetMode="External"/><Relationship Id="rId597" Type="http://schemas.openxmlformats.org/officeDocument/2006/relationships/hyperlink" Target="https://www.sec.gov/Archives/edgar/data/104169/000010416925000021/" TargetMode="External"/><Relationship Id="rId152" Type="http://schemas.openxmlformats.org/officeDocument/2006/relationships/hyperlink" Target="https://www.sec.gov/Archives/edgar/data/909832/000090983225000101/" TargetMode="External"/><Relationship Id="rId457" Type="http://schemas.openxmlformats.org/officeDocument/2006/relationships/hyperlink" Target="https://www.sec.gov/Archives/edgar/data/865436/000086543617000238/" TargetMode="External"/><Relationship Id="rId14" Type="http://schemas.openxmlformats.org/officeDocument/2006/relationships/hyperlink" Target="https://www.sec.gov/Archives/edgar/data/909832/000090983220000017/" TargetMode="External"/><Relationship Id="rId317" Type="http://schemas.openxmlformats.org/officeDocument/2006/relationships/hyperlink" Target="https://www.sec.gov/Archives/edgar/data/56873/000155837023004767/" TargetMode="External"/><Relationship Id="rId524" Type="http://schemas.openxmlformats.org/officeDocument/2006/relationships/hyperlink" Target="https://www.sec.gov/Archives/edgar/data/104169/000010416926000055/" TargetMode="External"/><Relationship Id="rId98" Type="http://schemas.openxmlformats.org/officeDocument/2006/relationships/hyperlink" Target="https://www.sec.gov/Archives/edgar/data/909832/000090983225000101/" TargetMode="External"/><Relationship Id="rId163" Type="http://schemas.openxmlformats.org/officeDocument/2006/relationships/hyperlink" Target="https://www.sec.gov/Archives/edgar/data/909832/000090983220000017/" TargetMode="External"/><Relationship Id="rId370" Type="http://schemas.openxmlformats.org/officeDocument/2006/relationships/hyperlink" Target="https://www.sec.gov/Archives/edgar/data/56873/000155837023004767/" TargetMode="External"/><Relationship Id="rId230" Type="http://schemas.openxmlformats.org/officeDocument/2006/relationships/hyperlink" Target="https://www.sec.gov/Archives/edgar/data/56873/000155837021003706/" TargetMode="External"/><Relationship Id="rId468" Type="http://schemas.openxmlformats.org/officeDocument/2006/relationships/hyperlink" Target="https://www.sec.gov/Archives/edgar/data/104169/000010416926000055/" TargetMode="External"/><Relationship Id="rId25" Type="http://schemas.openxmlformats.org/officeDocument/2006/relationships/hyperlink" Target="https://www.sec.gov/Archives/edgar/data/909832/000090983218000013/" TargetMode="External"/><Relationship Id="rId328" Type="http://schemas.openxmlformats.org/officeDocument/2006/relationships/hyperlink" Target="https://www.sec.gov/Archives/edgar/data/56873/000110465926037723/" TargetMode="External"/><Relationship Id="rId535" Type="http://schemas.openxmlformats.org/officeDocument/2006/relationships/hyperlink" Target="https://www.sec.gov/Archives/edgar/data/104169/000010416925000021/" TargetMode="External"/><Relationship Id="rId174" Type="http://schemas.openxmlformats.org/officeDocument/2006/relationships/hyperlink" Target="https://www.sec.gov/Archives/edgar/data/909832/000090983221000014/" TargetMode="External"/><Relationship Id="rId381" Type="http://schemas.openxmlformats.org/officeDocument/2006/relationships/hyperlink" Target="https://www.sec.gov/Archives/edgar/data/104169/000010416918000028/" TargetMode="External"/><Relationship Id="rId602" Type="http://schemas.openxmlformats.org/officeDocument/2006/relationships/hyperlink" Target="https://www.sec.gov/Archives/edgar/data/104169/000010416922000012/" TargetMode="External"/><Relationship Id="rId241" Type="http://schemas.openxmlformats.org/officeDocument/2006/relationships/hyperlink" Target="https://www.sec.gov/Archives/edgar/data/56873/000155837024004603/" TargetMode="External"/><Relationship Id="rId479" Type="http://schemas.openxmlformats.org/officeDocument/2006/relationships/hyperlink" Target="https://www.sec.gov/Archives/edgar/data/104169/000010416925000021/" TargetMode="External"/><Relationship Id="rId36" Type="http://schemas.openxmlformats.org/officeDocument/2006/relationships/hyperlink" Target="https://www.sec.gov/Archives/edgar/data/909832/000090983218000013/" TargetMode="External"/><Relationship Id="rId339" Type="http://schemas.openxmlformats.org/officeDocument/2006/relationships/hyperlink" Target="https://www.sec.gov/Archives/edgar/data/56873/000155837022004595/" TargetMode="External"/><Relationship Id="rId546" Type="http://schemas.openxmlformats.org/officeDocument/2006/relationships/hyperlink" Target="https://www.sec.gov/Archives/edgar/data/104169/000010416926000055/" TargetMode="External"/><Relationship Id="rId101" Type="http://schemas.openxmlformats.org/officeDocument/2006/relationships/hyperlink" Target="https://www.sec.gov/Archives/edgar/data/909832/000090983217000014/" TargetMode="External"/><Relationship Id="rId185" Type="http://schemas.openxmlformats.org/officeDocument/2006/relationships/hyperlink" Target="https://www.sec.gov/Archives/edgar/data/909832/000090983220000017/" TargetMode="External"/><Relationship Id="rId406" Type="http://schemas.openxmlformats.org/officeDocument/2006/relationships/hyperlink" Target="https://www.sec.gov/Archives/edgar/data/104169/000010416921000033/" TargetMode="External"/><Relationship Id="rId392" Type="http://schemas.openxmlformats.org/officeDocument/2006/relationships/hyperlink" Target="https://www.sec.gov/Archives/edgar/data/104169/000010416918000028/" TargetMode="External"/><Relationship Id="rId613" Type="http://schemas.openxmlformats.org/officeDocument/2006/relationships/hyperlink" Target="https://www.sec.gov/Archives/edgar/data/104169/000010416925000021/" TargetMode="External"/><Relationship Id="rId252" Type="http://schemas.openxmlformats.org/officeDocument/2006/relationships/hyperlink" Target="https://www.sec.gov/Archives/edgar/data/56873/000110465926037723/" TargetMode="External"/><Relationship Id="rId47" Type="http://schemas.openxmlformats.org/officeDocument/2006/relationships/hyperlink" Target="https://www.sec.gov/Archives/edgar/data/909832/000090983218000013/" TargetMode="External"/><Relationship Id="rId112" Type="http://schemas.openxmlformats.org/officeDocument/2006/relationships/hyperlink" Target="https://www.sec.gov/Archives/edgar/data/909832/000090983218000013/" TargetMode="External"/><Relationship Id="rId557" Type="http://schemas.openxmlformats.org/officeDocument/2006/relationships/hyperlink" Target="https://www.sec.gov/Archives/edgar/data/104169/000010416926000055/" TargetMode="External"/><Relationship Id="rId196" Type="http://schemas.openxmlformats.org/officeDocument/2006/relationships/hyperlink" Target="https://www.sec.gov/Archives/edgar/data/56873/000155837021003706/" TargetMode="External"/><Relationship Id="rId417" Type="http://schemas.openxmlformats.org/officeDocument/2006/relationships/hyperlink" Target="https://www.sec.gov/Archives/edgar/data/865436/000086543616000366/" TargetMode="External"/><Relationship Id="rId624" Type="http://schemas.openxmlformats.org/officeDocument/2006/relationships/hyperlink" Target="https://www.sec.gov/Archives/edgar/data/104169/000010416926000055/" TargetMode="External"/><Relationship Id="rId263" Type="http://schemas.openxmlformats.org/officeDocument/2006/relationships/hyperlink" Target="https://www.sec.gov/Archives/edgar/data/56873/000155837020003501/" TargetMode="External"/><Relationship Id="rId470" Type="http://schemas.openxmlformats.org/officeDocument/2006/relationships/hyperlink" Target="https://www.sec.gov/Archives/edgar/data/104169/000010416926000055/" TargetMode="External"/><Relationship Id="rId58" Type="http://schemas.openxmlformats.org/officeDocument/2006/relationships/hyperlink" Target="https://www.sec.gov/Archives/edgar/data/909832/000090983218000013/" TargetMode="External"/><Relationship Id="rId123" Type="http://schemas.openxmlformats.org/officeDocument/2006/relationships/hyperlink" Target="https://www.sec.gov/Archives/edgar/data/909832/000090983218000013/" TargetMode="External"/><Relationship Id="rId330" Type="http://schemas.openxmlformats.org/officeDocument/2006/relationships/hyperlink" Target="https://www.sec.gov/Archives/edgar/data/56873/000155837021003706/" TargetMode="External"/><Relationship Id="rId568" Type="http://schemas.openxmlformats.org/officeDocument/2006/relationships/hyperlink" Target="https://www.sec.gov/Archives/edgar/data/104169/000010416926000055/" TargetMode="External"/><Relationship Id="rId165" Type="http://schemas.openxmlformats.org/officeDocument/2006/relationships/hyperlink" Target="https://www.sec.gov/Archives/edgar/data/909832/000090983222000021/" TargetMode="External"/><Relationship Id="rId372" Type="http://schemas.openxmlformats.org/officeDocument/2006/relationships/hyperlink" Target="https://www.sec.gov/Archives/edgar/data/56873/000155837025004267/" TargetMode="External"/><Relationship Id="rId428" Type="http://schemas.openxmlformats.org/officeDocument/2006/relationships/hyperlink" Target="https://www.sec.gov/Archives/edgar/data/865436/000086543616000366/" TargetMode="External"/><Relationship Id="rId635" Type="http://schemas.openxmlformats.org/officeDocument/2006/relationships/hyperlink" Target="https://www.sec.gov/Archives/edgar/data/104169/000010416926000055/" TargetMode="External"/><Relationship Id="rId232" Type="http://schemas.openxmlformats.org/officeDocument/2006/relationships/hyperlink" Target="https://www.sec.gov/Archives/edgar/data/56873/000155837023004767/" TargetMode="External"/><Relationship Id="rId274" Type="http://schemas.openxmlformats.org/officeDocument/2006/relationships/hyperlink" Target="https://www.sec.gov/Archives/edgar/data/56873/000155837020003501/" TargetMode="External"/><Relationship Id="rId481" Type="http://schemas.openxmlformats.org/officeDocument/2006/relationships/hyperlink" Target="https://www.sec.gov/Archives/edgar/data/104169/000010416926000055/" TargetMode="External"/><Relationship Id="rId27" Type="http://schemas.openxmlformats.org/officeDocument/2006/relationships/hyperlink" Target="https://www.sec.gov/Archives/edgar/data/909832/000090983221000014/" TargetMode="External"/><Relationship Id="rId69" Type="http://schemas.openxmlformats.org/officeDocument/2006/relationships/hyperlink" Target="https://www.sec.gov/Archives/edgar/data/909832/000090983225000101/" TargetMode="External"/><Relationship Id="rId134" Type="http://schemas.openxmlformats.org/officeDocument/2006/relationships/hyperlink" Target="https://www.sec.gov/Archives/edgar/data/909832/000090983218000013/" TargetMode="External"/><Relationship Id="rId537" Type="http://schemas.openxmlformats.org/officeDocument/2006/relationships/hyperlink" Target="https://www.sec.gov/Archives/edgar/data/104169/000010416917000021/" TargetMode="External"/><Relationship Id="rId579" Type="http://schemas.openxmlformats.org/officeDocument/2006/relationships/hyperlink" Target="https://www.sec.gov/Archives/edgar/data/104169/000010416926000055/" TargetMode="External"/><Relationship Id="rId80" Type="http://schemas.openxmlformats.org/officeDocument/2006/relationships/hyperlink" Target="https://www.sec.gov/Archives/edgar/data/909832/000090983220000017/" TargetMode="External"/><Relationship Id="rId176" Type="http://schemas.openxmlformats.org/officeDocument/2006/relationships/hyperlink" Target="https://www.sec.gov/Archives/edgar/data/909832/000090983223000042/" TargetMode="External"/><Relationship Id="rId341" Type="http://schemas.openxmlformats.org/officeDocument/2006/relationships/hyperlink" Target="https://www.sec.gov/Archives/edgar/data/56873/000155837024004603/" TargetMode="External"/><Relationship Id="rId383" Type="http://schemas.openxmlformats.org/officeDocument/2006/relationships/hyperlink" Target="https://www.sec.gov/Archives/edgar/data/104169/000010416920000011/" TargetMode="External"/><Relationship Id="rId439" Type="http://schemas.openxmlformats.org/officeDocument/2006/relationships/hyperlink" Target="https://www.sec.gov/Archives/edgar/data/865436/000086543616000366/" TargetMode="External"/><Relationship Id="rId590" Type="http://schemas.openxmlformats.org/officeDocument/2006/relationships/hyperlink" Target="https://www.sec.gov/Archives/edgar/data/104169/000010416926000055/" TargetMode="External"/><Relationship Id="rId604" Type="http://schemas.openxmlformats.org/officeDocument/2006/relationships/hyperlink" Target="https://www.sec.gov/Archives/edgar/data/104169/000010416924000056/" TargetMode="External"/><Relationship Id="rId646" Type="http://schemas.openxmlformats.org/officeDocument/2006/relationships/hyperlink" Target="https://www.sec.gov/Archives/edgar/data/104169/000010416926000055/" TargetMode="External"/><Relationship Id="rId201" Type="http://schemas.openxmlformats.org/officeDocument/2006/relationships/hyperlink" Target="https://www.sec.gov/Archives/edgar/data/56873/000110465926037723/" TargetMode="External"/><Relationship Id="rId243" Type="http://schemas.openxmlformats.org/officeDocument/2006/relationships/hyperlink" Target="https://www.sec.gov/Archives/edgar/data/56873/000110465926037723/" TargetMode="External"/><Relationship Id="rId285" Type="http://schemas.openxmlformats.org/officeDocument/2006/relationships/hyperlink" Target="https://www.sec.gov/Archives/edgar/data/56873/000155837023004767/" TargetMode="External"/><Relationship Id="rId450" Type="http://schemas.openxmlformats.org/officeDocument/2006/relationships/hyperlink" Target="https://www.sec.gov/Archives/edgar/data/865436/000086543617000238/" TargetMode="External"/><Relationship Id="rId506" Type="http://schemas.openxmlformats.org/officeDocument/2006/relationships/hyperlink" Target="https://www.sec.gov/Archives/edgar/data/104169/000010416919000016/" TargetMode="External"/><Relationship Id="rId38" Type="http://schemas.openxmlformats.org/officeDocument/2006/relationships/hyperlink" Target="https://www.sec.gov/Archives/edgar/data/909832/000090983221000014/" TargetMode="External"/><Relationship Id="rId103" Type="http://schemas.openxmlformats.org/officeDocument/2006/relationships/hyperlink" Target="https://www.sec.gov/Archives/edgar/data/909832/000090983218000013/" TargetMode="External"/><Relationship Id="rId310" Type="http://schemas.openxmlformats.org/officeDocument/2006/relationships/hyperlink" Target="https://www.sec.gov/Archives/edgar/data/56873/000110465926037723/" TargetMode="External"/><Relationship Id="rId492" Type="http://schemas.openxmlformats.org/officeDocument/2006/relationships/hyperlink" Target="https://www.sec.gov/Archives/edgar/data/104169/000010416926000055/" TargetMode="External"/><Relationship Id="rId548" Type="http://schemas.openxmlformats.org/officeDocument/2006/relationships/hyperlink" Target="https://www.sec.gov/Archives/edgar/data/104169/000010416917000021/" TargetMode="External"/><Relationship Id="rId91" Type="http://schemas.openxmlformats.org/officeDocument/2006/relationships/hyperlink" Target="https://www.sec.gov/Archives/edgar/data/909832/000090983218000013/" TargetMode="External"/><Relationship Id="rId145" Type="http://schemas.openxmlformats.org/officeDocument/2006/relationships/hyperlink" Target="https://www.sec.gov/Archives/edgar/data/909832/000090983225000101/" TargetMode="External"/><Relationship Id="rId187" Type="http://schemas.openxmlformats.org/officeDocument/2006/relationships/hyperlink" Target="https://www.sec.gov/Archives/edgar/data/909832/000090983222000021/" TargetMode="External"/><Relationship Id="rId352" Type="http://schemas.openxmlformats.org/officeDocument/2006/relationships/hyperlink" Target="https://www.sec.gov/Archives/edgar/data/56873/000110465926037723/" TargetMode="External"/><Relationship Id="rId394" Type="http://schemas.openxmlformats.org/officeDocument/2006/relationships/hyperlink" Target="https://www.sec.gov/Archives/edgar/data/104169/000010416920000011/" TargetMode="External"/><Relationship Id="rId408" Type="http://schemas.openxmlformats.org/officeDocument/2006/relationships/hyperlink" Target="https://www.sec.gov/Archives/edgar/data/104169/000010416923000020/" TargetMode="External"/><Relationship Id="rId615" Type="http://schemas.openxmlformats.org/officeDocument/2006/relationships/hyperlink" Target="https://www.sec.gov/Archives/edgar/data/104169/000010416918000028/" TargetMode="External"/><Relationship Id="rId212" Type="http://schemas.openxmlformats.org/officeDocument/2006/relationships/hyperlink" Target="https://www.sec.gov/Archives/edgar/data/56873/000155837025004267/" TargetMode="External"/><Relationship Id="rId254" Type="http://schemas.openxmlformats.org/officeDocument/2006/relationships/hyperlink" Target="https://www.sec.gov/Archives/edgar/data/56873/000155837021003706/" TargetMode="External"/><Relationship Id="rId657" Type="http://schemas.openxmlformats.org/officeDocument/2006/relationships/hyperlink" Target="https://www.sec.gov/Archives/edgar/data/104169/000010416926000055/" TargetMode="External"/><Relationship Id="rId49" Type="http://schemas.openxmlformats.org/officeDocument/2006/relationships/hyperlink" Target="https://www.sec.gov/Archives/edgar/data/909832/000090983221000014/" TargetMode="External"/><Relationship Id="rId114" Type="http://schemas.openxmlformats.org/officeDocument/2006/relationships/hyperlink" Target="https://www.sec.gov/Archives/edgar/data/909832/000090983220000017/" TargetMode="External"/><Relationship Id="rId296" Type="http://schemas.openxmlformats.org/officeDocument/2006/relationships/hyperlink" Target="https://www.sec.gov/Archives/edgar/data/56873/000155837023004767/" TargetMode="External"/><Relationship Id="rId461" Type="http://schemas.openxmlformats.org/officeDocument/2006/relationships/hyperlink" Target="https://www.sec.gov/Archives/edgar/data/104169/000010416919000016/" TargetMode="External"/><Relationship Id="rId517" Type="http://schemas.openxmlformats.org/officeDocument/2006/relationships/hyperlink" Target="https://www.sec.gov/Archives/edgar/data/104169/000010416919000016/" TargetMode="External"/><Relationship Id="rId559" Type="http://schemas.openxmlformats.org/officeDocument/2006/relationships/hyperlink" Target="https://www.sec.gov/Archives/edgar/data/104169/000010416917000021/" TargetMode="External"/><Relationship Id="rId60" Type="http://schemas.openxmlformats.org/officeDocument/2006/relationships/hyperlink" Target="https://www.sec.gov/Archives/edgar/data/909832/000090983220000017/" TargetMode="External"/><Relationship Id="rId156" Type="http://schemas.openxmlformats.org/officeDocument/2006/relationships/hyperlink" Target="https://www.sec.gov/Archives/edgar/data/909832/000090983222000021/" TargetMode="External"/><Relationship Id="rId198" Type="http://schemas.openxmlformats.org/officeDocument/2006/relationships/hyperlink" Target="https://www.sec.gov/Archives/edgar/data/56873/000155837023004767/" TargetMode="External"/><Relationship Id="rId321" Type="http://schemas.openxmlformats.org/officeDocument/2006/relationships/hyperlink" Target="https://www.sec.gov/Archives/edgar/data/56873/000110465926037723/" TargetMode="External"/><Relationship Id="rId363" Type="http://schemas.openxmlformats.org/officeDocument/2006/relationships/hyperlink" Target="https://www.sec.gov/Archives/edgar/data/56873/000155837025004267/" TargetMode="External"/><Relationship Id="rId419" Type="http://schemas.openxmlformats.org/officeDocument/2006/relationships/hyperlink" Target="https://www.sec.gov/Archives/edgar/data/865436/000086543617000238/" TargetMode="External"/><Relationship Id="rId570" Type="http://schemas.openxmlformats.org/officeDocument/2006/relationships/hyperlink" Target="https://www.sec.gov/Archives/edgar/data/104169/000010416918000028/" TargetMode="External"/><Relationship Id="rId626" Type="http://schemas.openxmlformats.org/officeDocument/2006/relationships/hyperlink" Target="https://www.sec.gov/Archives/edgar/data/104169/000010416917000021/" TargetMode="External"/><Relationship Id="rId223" Type="http://schemas.openxmlformats.org/officeDocument/2006/relationships/hyperlink" Target="https://www.sec.gov/Archives/edgar/data/56873/000155837025004267/" TargetMode="External"/><Relationship Id="rId430" Type="http://schemas.openxmlformats.org/officeDocument/2006/relationships/hyperlink" Target="https://www.sec.gov/Archives/edgar/data/865436/000086543616000366/" TargetMode="External"/><Relationship Id="rId18" Type="http://schemas.openxmlformats.org/officeDocument/2006/relationships/hyperlink" Target="https://www.sec.gov/Archives/edgar/data/909832/000090983224000049/" TargetMode="External"/><Relationship Id="rId265" Type="http://schemas.openxmlformats.org/officeDocument/2006/relationships/hyperlink" Target="https://www.sec.gov/Archives/edgar/data/56873/000155837022004595/" TargetMode="External"/><Relationship Id="rId472" Type="http://schemas.openxmlformats.org/officeDocument/2006/relationships/hyperlink" Target="https://www.sec.gov/Archives/edgar/data/104169/000010416918000028/" TargetMode="External"/><Relationship Id="rId528" Type="http://schemas.openxmlformats.org/officeDocument/2006/relationships/hyperlink" Target="https://www.sec.gov/Archives/edgar/data/104169/000010416918000028/" TargetMode="External"/><Relationship Id="rId125" Type="http://schemas.openxmlformats.org/officeDocument/2006/relationships/hyperlink" Target="https://www.sec.gov/Archives/edgar/data/909832/000090983220000017/" TargetMode="External"/><Relationship Id="rId167" Type="http://schemas.openxmlformats.org/officeDocument/2006/relationships/hyperlink" Target="https://www.sec.gov/Archives/edgar/data/909832/000090983224000049/" TargetMode="External"/><Relationship Id="rId332" Type="http://schemas.openxmlformats.org/officeDocument/2006/relationships/hyperlink" Target="https://www.sec.gov/Archives/edgar/data/56873/000155837023004767/" TargetMode="External"/><Relationship Id="rId374" Type="http://schemas.openxmlformats.org/officeDocument/2006/relationships/hyperlink" Target="https://www.sec.gov/Archives/edgar/data/56873/000110465926037723/" TargetMode="External"/><Relationship Id="rId581" Type="http://schemas.openxmlformats.org/officeDocument/2006/relationships/hyperlink" Target="https://www.sec.gov/Archives/edgar/data/104169/000010416918000028/" TargetMode="External"/><Relationship Id="rId71" Type="http://schemas.openxmlformats.org/officeDocument/2006/relationships/hyperlink" Target="https://www.sec.gov/Archives/edgar/data/909832/000090983220000017/" TargetMode="External"/><Relationship Id="rId234" Type="http://schemas.openxmlformats.org/officeDocument/2006/relationships/hyperlink" Target="https://www.sec.gov/Archives/edgar/data/56873/000155837025004267/" TargetMode="External"/><Relationship Id="rId637" Type="http://schemas.openxmlformats.org/officeDocument/2006/relationships/hyperlink" Target="https://www.sec.gov/Archives/edgar/data/104169/000010416918000028/" TargetMode="External"/><Relationship Id="rId2" Type="http://schemas.openxmlformats.org/officeDocument/2006/relationships/hyperlink" Target="https://www.sec.gov/Archives/edgar/data/1018724/000101872420000004/" TargetMode="External"/><Relationship Id="rId29" Type="http://schemas.openxmlformats.org/officeDocument/2006/relationships/hyperlink" Target="https://www.sec.gov/Archives/edgar/data/909832/000090983223000042/" TargetMode="External"/><Relationship Id="rId276" Type="http://schemas.openxmlformats.org/officeDocument/2006/relationships/hyperlink" Target="https://www.sec.gov/Archives/edgar/data/56873/000155837018003055/" TargetMode="External"/><Relationship Id="rId441" Type="http://schemas.openxmlformats.org/officeDocument/2006/relationships/hyperlink" Target="https://www.sec.gov/Archives/edgar/data/865436/000086543617000238/" TargetMode="External"/><Relationship Id="rId483" Type="http://schemas.openxmlformats.org/officeDocument/2006/relationships/hyperlink" Target="https://www.sec.gov/Archives/edgar/data/104169/000010416918000028/" TargetMode="External"/><Relationship Id="rId539" Type="http://schemas.openxmlformats.org/officeDocument/2006/relationships/hyperlink" Target="https://www.sec.gov/Archives/edgar/data/104169/000010416919000016/" TargetMode="External"/><Relationship Id="rId40" Type="http://schemas.openxmlformats.org/officeDocument/2006/relationships/hyperlink" Target="https://www.sec.gov/Archives/edgar/data/909832/000090983223000042/" TargetMode="External"/><Relationship Id="rId136" Type="http://schemas.openxmlformats.org/officeDocument/2006/relationships/hyperlink" Target="https://www.sec.gov/Archives/edgar/data/909832/000090983220000017/" TargetMode="External"/><Relationship Id="rId178" Type="http://schemas.openxmlformats.org/officeDocument/2006/relationships/hyperlink" Target="https://www.sec.gov/Archives/edgar/data/909832/000090983225000101/" TargetMode="External"/><Relationship Id="rId301" Type="http://schemas.openxmlformats.org/officeDocument/2006/relationships/hyperlink" Target="https://www.sec.gov/Archives/edgar/data/56873/000155837018003055/" TargetMode="External"/><Relationship Id="rId343" Type="http://schemas.openxmlformats.org/officeDocument/2006/relationships/hyperlink" Target="https://www.sec.gov/Archives/edgar/data/56873/000110465926037723/" TargetMode="External"/><Relationship Id="rId550" Type="http://schemas.openxmlformats.org/officeDocument/2006/relationships/hyperlink" Target="https://www.sec.gov/Archives/edgar/data/104169/000010416919000016/" TargetMode="External"/><Relationship Id="rId82" Type="http://schemas.openxmlformats.org/officeDocument/2006/relationships/hyperlink" Target="https://www.sec.gov/Archives/edgar/data/909832/000090983222000021/" TargetMode="External"/><Relationship Id="rId203" Type="http://schemas.openxmlformats.org/officeDocument/2006/relationships/hyperlink" Target="https://www.sec.gov/Archives/edgar/data/56873/000110465926037723/" TargetMode="External"/><Relationship Id="rId385" Type="http://schemas.openxmlformats.org/officeDocument/2006/relationships/hyperlink" Target="https://www.sec.gov/Archives/edgar/data/104169/000010416922000012/" TargetMode="External"/><Relationship Id="rId592" Type="http://schemas.openxmlformats.org/officeDocument/2006/relationships/hyperlink" Target="https://www.sec.gov/Archives/edgar/data/104169/000010416920000011/" TargetMode="External"/><Relationship Id="rId606" Type="http://schemas.openxmlformats.org/officeDocument/2006/relationships/hyperlink" Target="https://www.sec.gov/Archives/edgar/data/104169/000010416926000055/" TargetMode="External"/><Relationship Id="rId648" Type="http://schemas.openxmlformats.org/officeDocument/2006/relationships/hyperlink" Target="https://www.sec.gov/Archives/edgar/data/104169/000010416919000016/" TargetMode="External"/><Relationship Id="rId245" Type="http://schemas.openxmlformats.org/officeDocument/2006/relationships/hyperlink" Target="https://www.sec.gov/Archives/edgar/data/56873/000155837020003501/" TargetMode="External"/><Relationship Id="rId287" Type="http://schemas.openxmlformats.org/officeDocument/2006/relationships/hyperlink" Target="https://www.sec.gov/Archives/edgar/data/56873/000155837025004267/" TargetMode="External"/><Relationship Id="rId410" Type="http://schemas.openxmlformats.org/officeDocument/2006/relationships/hyperlink" Target="https://www.sec.gov/Archives/edgar/data/104169/000010416925000021/" TargetMode="External"/><Relationship Id="rId452" Type="http://schemas.openxmlformats.org/officeDocument/2006/relationships/hyperlink" Target="https://www.sec.gov/Archives/edgar/data/865436/000086543617000238/" TargetMode="External"/><Relationship Id="rId494" Type="http://schemas.openxmlformats.org/officeDocument/2006/relationships/hyperlink" Target="https://www.sec.gov/Archives/edgar/data/104169/000010416918000028/" TargetMode="External"/><Relationship Id="rId508" Type="http://schemas.openxmlformats.org/officeDocument/2006/relationships/hyperlink" Target="https://www.sec.gov/Archives/edgar/data/104169/000010416921000033/" TargetMode="External"/><Relationship Id="rId105" Type="http://schemas.openxmlformats.org/officeDocument/2006/relationships/hyperlink" Target="https://www.sec.gov/Archives/edgar/data/909832/000090983221000014/" TargetMode="External"/><Relationship Id="rId147" Type="http://schemas.openxmlformats.org/officeDocument/2006/relationships/hyperlink" Target="https://www.sec.gov/Archives/edgar/data/909832/000090983220000017/" TargetMode="External"/><Relationship Id="rId312" Type="http://schemas.openxmlformats.org/officeDocument/2006/relationships/hyperlink" Target="https://www.sec.gov/Archives/edgar/data/56873/000155837018003055/" TargetMode="External"/><Relationship Id="rId354" Type="http://schemas.openxmlformats.org/officeDocument/2006/relationships/hyperlink" Target="https://www.sec.gov/Archives/edgar/data/56873/000110465926037723/" TargetMode="External"/><Relationship Id="rId51" Type="http://schemas.openxmlformats.org/officeDocument/2006/relationships/hyperlink" Target="https://www.sec.gov/Archives/edgar/data/909832/000090983223000042/" TargetMode="External"/><Relationship Id="rId93" Type="http://schemas.openxmlformats.org/officeDocument/2006/relationships/hyperlink" Target="https://www.sec.gov/Archives/edgar/data/909832/000090983220000017/" TargetMode="External"/><Relationship Id="rId189" Type="http://schemas.openxmlformats.org/officeDocument/2006/relationships/hyperlink" Target="https://www.sec.gov/Archives/edgar/data/909832/000090983224000049/" TargetMode="External"/><Relationship Id="rId396" Type="http://schemas.openxmlformats.org/officeDocument/2006/relationships/hyperlink" Target="https://www.sec.gov/Archives/edgar/data/104169/000010416922000012/" TargetMode="External"/><Relationship Id="rId561" Type="http://schemas.openxmlformats.org/officeDocument/2006/relationships/hyperlink" Target="https://www.sec.gov/Archives/edgar/data/104169/000010416919000016/" TargetMode="External"/><Relationship Id="rId617" Type="http://schemas.openxmlformats.org/officeDocument/2006/relationships/hyperlink" Target="https://www.sec.gov/Archives/edgar/data/104169/000010416920000011/" TargetMode="External"/><Relationship Id="rId214" Type="http://schemas.openxmlformats.org/officeDocument/2006/relationships/hyperlink" Target="https://www.sec.gov/Archives/edgar/data/56873/000110465926037723/" TargetMode="External"/><Relationship Id="rId256" Type="http://schemas.openxmlformats.org/officeDocument/2006/relationships/hyperlink" Target="https://www.sec.gov/Archives/edgar/data/56873/000155837023004767/" TargetMode="External"/><Relationship Id="rId298" Type="http://schemas.openxmlformats.org/officeDocument/2006/relationships/hyperlink" Target="https://www.sec.gov/Archives/edgar/data/56873/000155837025004267/" TargetMode="External"/><Relationship Id="rId421" Type="http://schemas.openxmlformats.org/officeDocument/2006/relationships/hyperlink" Target="https://www.sec.gov/Archives/edgar/data/865436/000086543617000238/" TargetMode="External"/><Relationship Id="rId463" Type="http://schemas.openxmlformats.org/officeDocument/2006/relationships/hyperlink" Target="https://www.sec.gov/Archives/edgar/data/104169/000010416921000033/" TargetMode="External"/><Relationship Id="rId519" Type="http://schemas.openxmlformats.org/officeDocument/2006/relationships/hyperlink" Target="https://www.sec.gov/Archives/edgar/data/104169/000010416921000033/" TargetMode="External"/><Relationship Id="rId116" Type="http://schemas.openxmlformats.org/officeDocument/2006/relationships/hyperlink" Target="https://www.sec.gov/Archives/edgar/data/909832/000090983222000021/" TargetMode="External"/><Relationship Id="rId158" Type="http://schemas.openxmlformats.org/officeDocument/2006/relationships/hyperlink" Target="https://www.sec.gov/Archives/edgar/data/909832/000090983224000049/" TargetMode="External"/><Relationship Id="rId323" Type="http://schemas.openxmlformats.org/officeDocument/2006/relationships/hyperlink" Target="https://www.sec.gov/Archives/edgar/data/56873/000155837021003706/" TargetMode="External"/><Relationship Id="rId530" Type="http://schemas.openxmlformats.org/officeDocument/2006/relationships/hyperlink" Target="https://www.sec.gov/Archives/edgar/data/104169/000010416920000011/" TargetMode="External"/><Relationship Id="rId20" Type="http://schemas.openxmlformats.org/officeDocument/2006/relationships/hyperlink" Target="https://www.sec.gov/Archives/edgar/data/909832/000090983225000101/" TargetMode="External"/><Relationship Id="rId62" Type="http://schemas.openxmlformats.org/officeDocument/2006/relationships/hyperlink" Target="https://www.sec.gov/Archives/edgar/data/909832/000090983225000101/" TargetMode="External"/><Relationship Id="rId365" Type="http://schemas.openxmlformats.org/officeDocument/2006/relationships/hyperlink" Target="https://www.sec.gov/Archives/edgar/data/56873/000110465926037723/" TargetMode="External"/><Relationship Id="rId572" Type="http://schemas.openxmlformats.org/officeDocument/2006/relationships/hyperlink" Target="https://www.sec.gov/Archives/edgar/data/104169/000010416920000011/" TargetMode="External"/><Relationship Id="rId628" Type="http://schemas.openxmlformats.org/officeDocument/2006/relationships/hyperlink" Target="https://www.sec.gov/Archives/edgar/data/104169/000010416919000016/" TargetMode="External"/><Relationship Id="rId225" Type="http://schemas.openxmlformats.org/officeDocument/2006/relationships/hyperlink" Target="https://www.sec.gov/Archives/edgar/data/56873/000110465926037723/" TargetMode="External"/><Relationship Id="rId267" Type="http://schemas.openxmlformats.org/officeDocument/2006/relationships/hyperlink" Target="https://www.sec.gov/Archives/edgar/data/56873/000155837024004603/" TargetMode="External"/><Relationship Id="rId432" Type="http://schemas.openxmlformats.org/officeDocument/2006/relationships/hyperlink" Target="https://www.sec.gov/Archives/edgar/data/865436/000086543617000238/" TargetMode="External"/><Relationship Id="rId474" Type="http://schemas.openxmlformats.org/officeDocument/2006/relationships/hyperlink" Target="https://www.sec.gov/Archives/edgar/data/104169/000010416920000011/" TargetMode="External"/><Relationship Id="rId127" Type="http://schemas.openxmlformats.org/officeDocument/2006/relationships/hyperlink" Target="https://www.sec.gov/Archives/edgar/data/909832/000090983222000021/" TargetMode="External"/><Relationship Id="rId31" Type="http://schemas.openxmlformats.org/officeDocument/2006/relationships/hyperlink" Target="https://www.sec.gov/Archives/edgar/data/909832/000090983225000101/" TargetMode="External"/><Relationship Id="rId73" Type="http://schemas.openxmlformats.org/officeDocument/2006/relationships/hyperlink" Target="https://www.sec.gov/Archives/edgar/data/909832/000090983222000021/" TargetMode="External"/><Relationship Id="rId169" Type="http://schemas.openxmlformats.org/officeDocument/2006/relationships/hyperlink" Target="https://www.sec.gov/Archives/edgar/data/909832/000090983225000101/" TargetMode="External"/><Relationship Id="rId334" Type="http://schemas.openxmlformats.org/officeDocument/2006/relationships/hyperlink" Target="https://www.sec.gov/Archives/edgar/data/56873/000155837025004267/" TargetMode="External"/><Relationship Id="rId376" Type="http://schemas.openxmlformats.org/officeDocument/2006/relationships/hyperlink" Target="https://www.sec.gov/Archives/edgar/data/56873/000110465926037723/" TargetMode="External"/><Relationship Id="rId541" Type="http://schemas.openxmlformats.org/officeDocument/2006/relationships/hyperlink" Target="https://www.sec.gov/Archives/edgar/data/104169/000010416921000033/" TargetMode="External"/><Relationship Id="rId583" Type="http://schemas.openxmlformats.org/officeDocument/2006/relationships/hyperlink" Target="https://www.sec.gov/Archives/edgar/data/104169/000010416920000011/" TargetMode="External"/><Relationship Id="rId639" Type="http://schemas.openxmlformats.org/officeDocument/2006/relationships/hyperlink" Target="https://www.sec.gov/Archives/edgar/data/104169/000010416920000011/" TargetMode="External"/><Relationship Id="rId4" Type="http://schemas.openxmlformats.org/officeDocument/2006/relationships/hyperlink" Target="https://www.sec.gov/Archives/edgar/data/1018724/000101872422000005/" TargetMode="External"/><Relationship Id="rId180" Type="http://schemas.openxmlformats.org/officeDocument/2006/relationships/hyperlink" Target="https://www.sec.gov/Archives/edgar/data/909832/000090983225000101/" TargetMode="External"/><Relationship Id="rId236" Type="http://schemas.openxmlformats.org/officeDocument/2006/relationships/hyperlink" Target="https://www.sec.gov/Archives/edgar/data/56873/000110465926037723/" TargetMode="External"/><Relationship Id="rId278" Type="http://schemas.openxmlformats.org/officeDocument/2006/relationships/hyperlink" Target="https://www.sec.gov/Archives/edgar/data/56873/000155837020003501/" TargetMode="External"/><Relationship Id="rId401" Type="http://schemas.openxmlformats.org/officeDocument/2006/relationships/hyperlink" Target="https://www.sec.gov/Archives/edgar/data/104169/000010416926000055/" TargetMode="External"/><Relationship Id="rId443" Type="http://schemas.openxmlformats.org/officeDocument/2006/relationships/hyperlink" Target="https://www.sec.gov/Archives/edgar/data/865436/000086543617000238/" TargetMode="External"/><Relationship Id="rId650" Type="http://schemas.openxmlformats.org/officeDocument/2006/relationships/hyperlink" Target="https://www.sec.gov/Archives/edgar/data/104169/000010416921000033/" TargetMode="External"/><Relationship Id="rId303" Type="http://schemas.openxmlformats.org/officeDocument/2006/relationships/hyperlink" Target="https://www.sec.gov/Archives/edgar/data/56873/000155837020003501/" TargetMode="External"/><Relationship Id="rId485" Type="http://schemas.openxmlformats.org/officeDocument/2006/relationships/hyperlink" Target="https://www.sec.gov/Archives/edgar/data/104169/000010416920000011/" TargetMode="External"/><Relationship Id="rId42" Type="http://schemas.openxmlformats.org/officeDocument/2006/relationships/hyperlink" Target="https://www.sec.gov/Archives/edgar/data/909832/000090983225000101/" TargetMode="External"/><Relationship Id="rId84" Type="http://schemas.openxmlformats.org/officeDocument/2006/relationships/hyperlink" Target="https://www.sec.gov/Archives/edgar/data/909832/000090983224000049/" TargetMode="External"/><Relationship Id="rId138" Type="http://schemas.openxmlformats.org/officeDocument/2006/relationships/hyperlink" Target="https://www.sec.gov/Archives/edgar/data/909832/000090983222000021/" TargetMode="External"/><Relationship Id="rId345" Type="http://schemas.openxmlformats.org/officeDocument/2006/relationships/hyperlink" Target="https://www.sec.gov/Archives/edgar/data/56873/000155837019002756/" TargetMode="External"/><Relationship Id="rId387" Type="http://schemas.openxmlformats.org/officeDocument/2006/relationships/hyperlink" Target="https://www.sec.gov/Archives/edgar/data/104169/000010416924000056/" TargetMode="External"/><Relationship Id="rId510" Type="http://schemas.openxmlformats.org/officeDocument/2006/relationships/hyperlink" Target="https://www.sec.gov/Archives/edgar/data/104169/000010416923000020/" TargetMode="External"/><Relationship Id="rId552" Type="http://schemas.openxmlformats.org/officeDocument/2006/relationships/hyperlink" Target="https://www.sec.gov/Archives/edgar/data/104169/000010416921000033/" TargetMode="External"/><Relationship Id="rId594" Type="http://schemas.openxmlformats.org/officeDocument/2006/relationships/hyperlink" Target="https://www.sec.gov/Archives/edgar/data/104169/000010416922000012/" TargetMode="External"/><Relationship Id="rId608" Type="http://schemas.openxmlformats.org/officeDocument/2006/relationships/hyperlink" Target="https://www.sec.gov/Archives/edgar/data/104169/000010416920000011/" TargetMode="External"/><Relationship Id="rId191" Type="http://schemas.openxmlformats.org/officeDocument/2006/relationships/hyperlink" Target="https://www.sec.gov/Archives/edgar/data/909832/000090983225000101/" TargetMode="External"/><Relationship Id="rId205" Type="http://schemas.openxmlformats.org/officeDocument/2006/relationships/hyperlink" Target="https://www.sec.gov/Archives/edgar/data/56873/000155837018003055/" TargetMode="External"/><Relationship Id="rId247" Type="http://schemas.openxmlformats.org/officeDocument/2006/relationships/hyperlink" Target="https://www.sec.gov/Archives/edgar/data/56873/000155837022004595/" TargetMode="External"/><Relationship Id="rId412" Type="http://schemas.openxmlformats.org/officeDocument/2006/relationships/hyperlink" Target="https://www.sec.gov/Archives/edgar/data/104169/000010416926000055/" TargetMode="External"/><Relationship Id="rId107" Type="http://schemas.openxmlformats.org/officeDocument/2006/relationships/hyperlink" Target="https://www.sec.gov/Archives/edgar/data/909832/000090983223000042/" TargetMode="External"/><Relationship Id="rId289" Type="http://schemas.openxmlformats.org/officeDocument/2006/relationships/hyperlink" Target="https://www.sec.gov/Archives/edgar/data/56873/000110465926037723/" TargetMode="External"/><Relationship Id="rId454" Type="http://schemas.openxmlformats.org/officeDocument/2006/relationships/hyperlink" Target="https://www.sec.gov/Archives/edgar/data/865436/000086543616000366/" TargetMode="External"/><Relationship Id="rId496" Type="http://schemas.openxmlformats.org/officeDocument/2006/relationships/hyperlink" Target="https://www.sec.gov/Archives/edgar/data/104169/000010416920000011/" TargetMode="External"/><Relationship Id="rId11" Type="http://schemas.openxmlformats.org/officeDocument/2006/relationships/hyperlink" Target="https://www.sec.gov/Archives/edgar/data/909832/000090983217000014/" TargetMode="External"/><Relationship Id="rId53" Type="http://schemas.openxmlformats.org/officeDocument/2006/relationships/hyperlink" Target="https://www.sec.gov/Archives/edgar/data/909832/000090983225000101/" TargetMode="External"/><Relationship Id="rId149" Type="http://schemas.openxmlformats.org/officeDocument/2006/relationships/hyperlink" Target="https://www.sec.gov/Archives/edgar/data/909832/000090983222000021/" TargetMode="External"/><Relationship Id="rId314" Type="http://schemas.openxmlformats.org/officeDocument/2006/relationships/hyperlink" Target="https://www.sec.gov/Archives/edgar/data/56873/000155837020003501/" TargetMode="External"/><Relationship Id="rId356" Type="http://schemas.openxmlformats.org/officeDocument/2006/relationships/hyperlink" Target="https://www.sec.gov/Archives/edgar/data/56873/000155837018003055/" TargetMode="External"/><Relationship Id="rId398" Type="http://schemas.openxmlformats.org/officeDocument/2006/relationships/hyperlink" Target="https://www.sec.gov/Archives/edgar/data/104169/000010416924000056/" TargetMode="External"/><Relationship Id="rId521" Type="http://schemas.openxmlformats.org/officeDocument/2006/relationships/hyperlink" Target="https://www.sec.gov/Archives/edgar/data/104169/000010416923000020/" TargetMode="External"/><Relationship Id="rId563" Type="http://schemas.openxmlformats.org/officeDocument/2006/relationships/hyperlink" Target="https://www.sec.gov/Archives/edgar/data/104169/000010416921000033/" TargetMode="External"/><Relationship Id="rId619" Type="http://schemas.openxmlformats.org/officeDocument/2006/relationships/hyperlink" Target="https://www.sec.gov/Archives/edgar/data/104169/000010416922000012/" TargetMode="External"/><Relationship Id="rId95" Type="http://schemas.openxmlformats.org/officeDocument/2006/relationships/hyperlink" Target="https://www.sec.gov/Archives/edgar/data/909832/000090983222000021/" TargetMode="External"/><Relationship Id="rId160" Type="http://schemas.openxmlformats.org/officeDocument/2006/relationships/hyperlink" Target="https://www.sec.gov/Archives/edgar/data/909832/000090983217000014/" TargetMode="External"/><Relationship Id="rId216" Type="http://schemas.openxmlformats.org/officeDocument/2006/relationships/hyperlink" Target="https://www.sec.gov/Archives/edgar/data/56873/000155837018003055/" TargetMode="External"/><Relationship Id="rId423" Type="http://schemas.openxmlformats.org/officeDocument/2006/relationships/hyperlink" Target="https://www.sec.gov/Archives/edgar/data/865436/000086543617000238/" TargetMode="External"/><Relationship Id="rId258" Type="http://schemas.openxmlformats.org/officeDocument/2006/relationships/hyperlink" Target="https://www.sec.gov/Archives/edgar/data/56873/000155837025004267/" TargetMode="External"/><Relationship Id="rId465" Type="http://schemas.openxmlformats.org/officeDocument/2006/relationships/hyperlink" Target="https://www.sec.gov/Archives/edgar/data/104169/000010416923000020/" TargetMode="External"/><Relationship Id="rId630" Type="http://schemas.openxmlformats.org/officeDocument/2006/relationships/hyperlink" Target="https://www.sec.gov/Archives/edgar/data/104169/000010416921000033/" TargetMode="External"/><Relationship Id="rId22" Type="http://schemas.openxmlformats.org/officeDocument/2006/relationships/hyperlink" Target="https://www.sec.gov/Archives/edgar/data/909832/000090983216000032/" TargetMode="External"/><Relationship Id="rId64" Type="http://schemas.openxmlformats.org/officeDocument/2006/relationships/hyperlink" Target="https://www.sec.gov/Archives/edgar/data/909832/000090983216000032/" TargetMode="External"/><Relationship Id="rId118" Type="http://schemas.openxmlformats.org/officeDocument/2006/relationships/hyperlink" Target="https://www.sec.gov/Archives/edgar/data/909832/000090983224000049/" TargetMode="External"/><Relationship Id="rId325" Type="http://schemas.openxmlformats.org/officeDocument/2006/relationships/hyperlink" Target="https://www.sec.gov/Archives/edgar/data/56873/000155837023004767/" TargetMode="External"/><Relationship Id="rId367" Type="http://schemas.openxmlformats.org/officeDocument/2006/relationships/hyperlink" Target="https://www.sec.gov/Archives/edgar/data/56873/000155837020003501/" TargetMode="External"/><Relationship Id="rId532" Type="http://schemas.openxmlformats.org/officeDocument/2006/relationships/hyperlink" Target="https://www.sec.gov/Archives/edgar/data/104169/000010416922000012/" TargetMode="External"/><Relationship Id="rId574" Type="http://schemas.openxmlformats.org/officeDocument/2006/relationships/hyperlink" Target="https://www.sec.gov/Archives/edgar/data/104169/000010416922000012/" TargetMode="External"/><Relationship Id="rId171" Type="http://schemas.openxmlformats.org/officeDocument/2006/relationships/hyperlink" Target="https://www.sec.gov/Archives/edgar/data/909832/000090983218000013/" TargetMode="External"/><Relationship Id="rId227" Type="http://schemas.openxmlformats.org/officeDocument/2006/relationships/hyperlink" Target="https://www.sec.gov/Archives/edgar/data/56873/000155837018003055/" TargetMode="External"/><Relationship Id="rId269" Type="http://schemas.openxmlformats.org/officeDocument/2006/relationships/hyperlink" Target="https://www.sec.gov/Archives/edgar/data/56873/000110465926037723/" TargetMode="External"/><Relationship Id="rId434" Type="http://schemas.openxmlformats.org/officeDocument/2006/relationships/hyperlink" Target="https://www.sec.gov/Archives/edgar/data/865436/000086543617000238/" TargetMode="External"/><Relationship Id="rId476" Type="http://schemas.openxmlformats.org/officeDocument/2006/relationships/hyperlink" Target="https://www.sec.gov/Archives/edgar/data/104169/000010416922000012/" TargetMode="External"/><Relationship Id="rId641" Type="http://schemas.openxmlformats.org/officeDocument/2006/relationships/hyperlink" Target="https://www.sec.gov/Archives/edgar/data/104169/000010416922000012/" TargetMode="External"/><Relationship Id="rId33" Type="http://schemas.openxmlformats.org/officeDocument/2006/relationships/hyperlink" Target="https://www.sec.gov/Archives/edgar/data/909832/000090983216000032/" TargetMode="External"/><Relationship Id="rId129" Type="http://schemas.openxmlformats.org/officeDocument/2006/relationships/hyperlink" Target="https://www.sec.gov/Archives/edgar/data/909832/000090983224000049/" TargetMode="External"/><Relationship Id="rId280" Type="http://schemas.openxmlformats.org/officeDocument/2006/relationships/hyperlink" Target="https://www.sec.gov/Archives/edgar/data/56873/000155837018003055/" TargetMode="External"/><Relationship Id="rId336" Type="http://schemas.openxmlformats.org/officeDocument/2006/relationships/hyperlink" Target="https://www.sec.gov/Archives/edgar/data/56873/000110465926037723/" TargetMode="External"/><Relationship Id="rId501" Type="http://schemas.openxmlformats.org/officeDocument/2006/relationships/hyperlink" Target="https://www.sec.gov/Archives/edgar/data/104169/000010416925000021/" TargetMode="External"/><Relationship Id="rId543" Type="http://schemas.openxmlformats.org/officeDocument/2006/relationships/hyperlink" Target="https://www.sec.gov/Archives/edgar/data/104169/000010416923000020/" TargetMode="External"/><Relationship Id="rId75" Type="http://schemas.openxmlformats.org/officeDocument/2006/relationships/hyperlink" Target="https://www.sec.gov/Archives/edgar/data/909832/000090983225000101/" TargetMode="External"/><Relationship Id="rId140" Type="http://schemas.openxmlformats.org/officeDocument/2006/relationships/hyperlink" Target="https://www.sec.gov/Archives/edgar/data/909832/000090983224000049/" TargetMode="External"/><Relationship Id="rId182" Type="http://schemas.openxmlformats.org/officeDocument/2006/relationships/hyperlink" Target="https://www.sec.gov/Archives/edgar/data/909832/000090983217000014/" TargetMode="External"/><Relationship Id="rId378" Type="http://schemas.openxmlformats.org/officeDocument/2006/relationships/hyperlink" Target="https://www.sec.gov/Archives/edgar/data/104169/000010416926000055/" TargetMode="External"/><Relationship Id="rId403" Type="http://schemas.openxmlformats.org/officeDocument/2006/relationships/hyperlink" Target="https://www.sec.gov/Archives/edgar/data/104169/000010416918000028/" TargetMode="External"/><Relationship Id="rId585" Type="http://schemas.openxmlformats.org/officeDocument/2006/relationships/hyperlink" Target="https://www.sec.gov/Archives/edgar/data/104169/000010416922000012/" TargetMode="External"/><Relationship Id="rId6" Type="http://schemas.openxmlformats.org/officeDocument/2006/relationships/hyperlink" Target="https://www.sec.gov/Archives/edgar/data/1018724/000101872424000008/" TargetMode="External"/><Relationship Id="rId238" Type="http://schemas.openxmlformats.org/officeDocument/2006/relationships/hyperlink" Target="https://www.sec.gov/Archives/edgar/data/56873/000155837021003706/" TargetMode="External"/><Relationship Id="rId445" Type="http://schemas.openxmlformats.org/officeDocument/2006/relationships/hyperlink" Target="https://www.sec.gov/Archives/edgar/data/865436/000086543617000238/" TargetMode="External"/><Relationship Id="rId487" Type="http://schemas.openxmlformats.org/officeDocument/2006/relationships/hyperlink" Target="https://www.sec.gov/Archives/edgar/data/104169/000010416922000012/" TargetMode="External"/><Relationship Id="rId610" Type="http://schemas.openxmlformats.org/officeDocument/2006/relationships/hyperlink" Target="https://www.sec.gov/Archives/edgar/data/104169/000010416922000012/" TargetMode="External"/><Relationship Id="rId652" Type="http://schemas.openxmlformats.org/officeDocument/2006/relationships/hyperlink" Target="https://www.sec.gov/Archives/edgar/data/104169/000010416923000020/" TargetMode="External"/><Relationship Id="rId291" Type="http://schemas.openxmlformats.org/officeDocument/2006/relationships/hyperlink" Target="https://www.sec.gov/Archives/edgar/data/56873/000155837018003055/" TargetMode="External"/><Relationship Id="rId305" Type="http://schemas.openxmlformats.org/officeDocument/2006/relationships/hyperlink" Target="https://www.sec.gov/Archives/edgar/data/56873/000155837022004595/" TargetMode="External"/><Relationship Id="rId347" Type="http://schemas.openxmlformats.org/officeDocument/2006/relationships/hyperlink" Target="https://www.sec.gov/Archives/edgar/data/56873/000155837021003706/" TargetMode="External"/><Relationship Id="rId512" Type="http://schemas.openxmlformats.org/officeDocument/2006/relationships/hyperlink" Target="https://www.sec.gov/Archives/edgar/data/104169/000010416925000021/" TargetMode="External"/><Relationship Id="rId44" Type="http://schemas.openxmlformats.org/officeDocument/2006/relationships/hyperlink" Target="https://www.sec.gov/Archives/edgar/data/909832/000090983216000032/" TargetMode="External"/><Relationship Id="rId86" Type="http://schemas.openxmlformats.org/officeDocument/2006/relationships/hyperlink" Target="https://www.sec.gov/Archives/edgar/data/909832/000090983225000101/" TargetMode="External"/><Relationship Id="rId151" Type="http://schemas.openxmlformats.org/officeDocument/2006/relationships/hyperlink" Target="https://www.sec.gov/Archives/edgar/data/909832/000090983224000049/" TargetMode="External"/><Relationship Id="rId389" Type="http://schemas.openxmlformats.org/officeDocument/2006/relationships/hyperlink" Target="https://www.sec.gov/Archives/edgar/data/104169/000010416926000055/" TargetMode="External"/><Relationship Id="rId554" Type="http://schemas.openxmlformats.org/officeDocument/2006/relationships/hyperlink" Target="https://www.sec.gov/Archives/edgar/data/104169/000010416923000020/" TargetMode="External"/><Relationship Id="rId596" Type="http://schemas.openxmlformats.org/officeDocument/2006/relationships/hyperlink" Target="https://www.sec.gov/Archives/edgar/data/104169/000010416924000056/" TargetMode="External"/><Relationship Id="rId193" Type="http://schemas.openxmlformats.org/officeDocument/2006/relationships/hyperlink" Target="https://www.sec.gov/Archives/edgar/data/56873/000155837018003055/" TargetMode="External"/><Relationship Id="rId207" Type="http://schemas.openxmlformats.org/officeDocument/2006/relationships/hyperlink" Target="https://www.sec.gov/Archives/edgar/data/56873/000155837020003501/" TargetMode="External"/><Relationship Id="rId249" Type="http://schemas.openxmlformats.org/officeDocument/2006/relationships/hyperlink" Target="https://www.sec.gov/Archives/edgar/data/56873/000155837024004603/" TargetMode="External"/><Relationship Id="rId414" Type="http://schemas.openxmlformats.org/officeDocument/2006/relationships/hyperlink" Target="https://www.sec.gov/Archives/edgar/data/865436/000086543617000238/" TargetMode="External"/><Relationship Id="rId456" Type="http://schemas.openxmlformats.org/officeDocument/2006/relationships/hyperlink" Target="https://www.sec.gov/Archives/edgar/data/865436/000086543617000238/" TargetMode="External"/><Relationship Id="rId498" Type="http://schemas.openxmlformats.org/officeDocument/2006/relationships/hyperlink" Target="https://www.sec.gov/Archives/edgar/data/104169/000010416922000012/" TargetMode="External"/><Relationship Id="rId621" Type="http://schemas.openxmlformats.org/officeDocument/2006/relationships/hyperlink" Target="https://www.sec.gov/Archives/edgar/data/104169/000010416924000056/" TargetMode="External"/><Relationship Id="rId13" Type="http://schemas.openxmlformats.org/officeDocument/2006/relationships/hyperlink" Target="https://www.sec.gov/Archives/edgar/data/909832/000090983218000013/" TargetMode="External"/><Relationship Id="rId109" Type="http://schemas.openxmlformats.org/officeDocument/2006/relationships/hyperlink" Target="https://www.sec.gov/Archives/edgar/data/909832/000090983225000101/" TargetMode="External"/><Relationship Id="rId260" Type="http://schemas.openxmlformats.org/officeDocument/2006/relationships/hyperlink" Target="https://www.sec.gov/Archives/edgar/data/56873/000155837017002198/" TargetMode="External"/><Relationship Id="rId316" Type="http://schemas.openxmlformats.org/officeDocument/2006/relationships/hyperlink" Target="https://www.sec.gov/Archives/edgar/data/56873/000155837022004595/" TargetMode="External"/><Relationship Id="rId523" Type="http://schemas.openxmlformats.org/officeDocument/2006/relationships/hyperlink" Target="https://www.sec.gov/Archives/edgar/data/104169/000010416925000021/" TargetMode="External"/><Relationship Id="rId55" Type="http://schemas.openxmlformats.org/officeDocument/2006/relationships/hyperlink" Target="https://www.sec.gov/Archives/edgar/data/909832/000090983215000014/" TargetMode="External"/><Relationship Id="rId97" Type="http://schemas.openxmlformats.org/officeDocument/2006/relationships/hyperlink" Target="https://www.sec.gov/Archives/edgar/data/909832/000090983224000049/" TargetMode="External"/><Relationship Id="rId120" Type="http://schemas.openxmlformats.org/officeDocument/2006/relationships/hyperlink" Target="https://www.sec.gov/Archives/edgar/data/909832/000090983225000101/" TargetMode="External"/><Relationship Id="rId358" Type="http://schemas.openxmlformats.org/officeDocument/2006/relationships/hyperlink" Target="https://www.sec.gov/Archives/edgar/data/56873/000155837020003501/" TargetMode="External"/><Relationship Id="rId565" Type="http://schemas.openxmlformats.org/officeDocument/2006/relationships/hyperlink" Target="https://www.sec.gov/Archives/edgar/data/104169/000010416923000020/" TargetMode="External"/><Relationship Id="rId162" Type="http://schemas.openxmlformats.org/officeDocument/2006/relationships/hyperlink" Target="https://www.sec.gov/Archives/edgar/data/909832/000090983218000013/" TargetMode="External"/><Relationship Id="rId218" Type="http://schemas.openxmlformats.org/officeDocument/2006/relationships/hyperlink" Target="https://www.sec.gov/Archives/edgar/data/56873/000155837020003501/" TargetMode="External"/><Relationship Id="rId425" Type="http://schemas.openxmlformats.org/officeDocument/2006/relationships/hyperlink" Target="https://www.sec.gov/Archives/edgar/data/865436/000086543617000238/" TargetMode="External"/><Relationship Id="rId467" Type="http://schemas.openxmlformats.org/officeDocument/2006/relationships/hyperlink" Target="https://www.sec.gov/Archives/edgar/data/104169/000010416925000021/" TargetMode="External"/><Relationship Id="rId632" Type="http://schemas.openxmlformats.org/officeDocument/2006/relationships/hyperlink" Target="https://www.sec.gov/Archives/edgar/data/104169/000010416923000020/" TargetMode="External"/><Relationship Id="rId271" Type="http://schemas.openxmlformats.org/officeDocument/2006/relationships/hyperlink" Target="https://www.sec.gov/Archives/edgar/data/56873/000155837017002198/" TargetMode="External"/><Relationship Id="rId24" Type="http://schemas.openxmlformats.org/officeDocument/2006/relationships/hyperlink" Target="https://www.sec.gov/Archives/edgar/data/909832/000090983218000013/" TargetMode="External"/><Relationship Id="rId66" Type="http://schemas.openxmlformats.org/officeDocument/2006/relationships/hyperlink" Target="https://www.sec.gov/Archives/edgar/data/909832/000090983218000013/" TargetMode="External"/><Relationship Id="rId131" Type="http://schemas.openxmlformats.org/officeDocument/2006/relationships/hyperlink" Target="https://www.sec.gov/Archives/edgar/data/909832/000090983225000101/" TargetMode="External"/><Relationship Id="rId327" Type="http://schemas.openxmlformats.org/officeDocument/2006/relationships/hyperlink" Target="https://www.sec.gov/Archives/edgar/data/56873/000155837025004267/" TargetMode="External"/><Relationship Id="rId369" Type="http://schemas.openxmlformats.org/officeDocument/2006/relationships/hyperlink" Target="https://www.sec.gov/Archives/edgar/data/56873/000155837022004595/" TargetMode="External"/><Relationship Id="rId534" Type="http://schemas.openxmlformats.org/officeDocument/2006/relationships/hyperlink" Target="https://www.sec.gov/Archives/edgar/data/104169/000010416924000056/" TargetMode="External"/><Relationship Id="rId576" Type="http://schemas.openxmlformats.org/officeDocument/2006/relationships/hyperlink" Target="https://www.sec.gov/Archives/edgar/data/104169/000010416924000056/" TargetMode="External"/><Relationship Id="rId173" Type="http://schemas.openxmlformats.org/officeDocument/2006/relationships/hyperlink" Target="https://www.sec.gov/Archives/edgar/data/909832/000090983220000017/" TargetMode="External"/><Relationship Id="rId229" Type="http://schemas.openxmlformats.org/officeDocument/2006/relationships/hyperlink" Target="https://www.sec.gov/Archives/edgar/data/56873/000155837020003501/" TargetMode="External"/><Relationship Id="rId380" Type="http://schemas.openxmlformats.org/officeDocument/2006/relationships/hyperlink" Target="https://www.sec.gov/Archives/edgar/data/104169/000010416926000055/" TargetMode="External"/><Relationship Id="rId436" Type="http://schemas.openxmlformats.org/officeDocument/2006/relationships/hyperlink" Target="https://www.sec.gov/Archives/edgar/data/865436/000086543616000366/" TargetMode="External"/><Relationship Id="rId601" Type="http://schemas.openxmlformats.org/officeDocument/2006/relationships/hyperlink" Target="https://www.sec.gov/Archives/edgar/data/104169/000010416921000033/" TargetMode="External"/><Relationship Id="rId643" Type="http://schemas.openxmlformats.org/officeDocument/2006/relationships/hyperlink" Target="https://www.sec.gov/Archives/edgar/data/104169/000010416924000056/" TargetMode="External"/><Relationship Id="rId240" Type="http://schemas.openxmlformats.org/officeDocument/2006/relationships/hyperlink" Target="https://www.sec.gov/Archives/edgar/data/56873/000155837023004767/" TargetMode="External"/><Relationship Id="rId478" Type="http://schemas.openxmlformats.org/officeDocument/2006/relationships/hyperlink" Target="https://www.sec.gov/Archives/edgar/data/104169/000010416924000056/" TargetMode="External"/><Relationship Id="rId35" Type="http://schemas.openxmlformats.org/officeDocument/2006/relationships/hyperlink" Target="https://www.sec.gov/Archives/edgar/data/909832/000090983218000013/" TargetMode="External"/><Relationship Id="rId77" Type="http://schemas.openxmlformats.org/officeDocument/2006/relationships/hyperlink" Target="https://www.sec.gov/Archives/edgar/data/909832/000090983217000014/" TargetMode="External"/><Relationship Id="rId100" Type="http://schemas.openxmlformats.org/officeDocument/2006/relationships/hyperlink" Target="https://www.sec.gov/Archives/edgar/data/909832/000090983216000032/" TargetMode="External"/><Relationship Id="rId282" Type="http://schemas.openxmlformats.org/officeDocument/2006/relationships/hyperlink" Target="https://www.sec.gov/Archives/edgar/data/56873/000155837020003501/" TargetMode="External"/><Relationship Id="rId338" Type="http://schemas.openxmlformats.org/officeDocument/2006/relationships/hyperlink" Target="https://www.sec.gov/Archives/edgar/data/56873/000155837021003706/" TargetMode="External"/><Relationship Id="rId503" Type="http://schemas.openxmlformats.org/officeDocument/2006/relationships/hyperlink" Target="https://www.sec.gov/Archives/edgar/data/104169/000010416926000055/" TargetMode="External"/><Relationship Id="rId545" Type="http://schemas.openxmlformats.org/officeDocument/2006/relationships/hyperlink" Target="https://www.sec.gov/Archives/edgar/data/104169/000010416925000021/" TargetMode="External"/><Relationship Id="rId587" Type="http://schemas.openxmlformats.org/officeDocument/2006/relationships/hyperlink" Target="https://www.sec.gov/Archives/edgar/data/104169/000010416924000056/" TargetMode="External"/><Relationship Id="rId8" Type="http://schemas.openxmlformats.org/officeDocument/2006/relationships/hyperlink" Target="https://www.sec.gov/Archives/edgar/data/1018724/000101872426000004/" TargetMode="External"/><Relationship Id="rId142" Type="http://schemas.openxmlformats.org/officeDocument/2006/relationships/hyperlink" Target="https://www.sec.gov/Archives/edgar/data/909832/000090983225000101/" TargetMode="External"/><Relationship Id="rId184" Type="http://schemas.openxmlformats.org/officeDocument/2006/relationships/hyperlink" Target="https://www.sec.gov/Archives/edgar/data/909832/000090983218000013/" TargetMode="External"/><Relationship Id="rId391" Type="http://schemas.openxmlformats.org/officeDocument/2006/relationships/hyperlink" Target="https://www.sec.gov/Archives/edgar/data/104169/000010416926000055/" TargetMode="External"/><Relationship Id="rId405" Type="http://schemas.openxmlformats.org/officeDocument/2006/relationships/hyperlink" Target="https://www.sec.gov/Archives/edgar/data/104169/000010416920000011/" TargetMode="External"/><Relationship Id="rId447" Type="http://schemas.openxmlformats.org/officeDocument/2006/relationships/hyperlink" Target="https://www.sec.gov/Archives/edgar/data/865436/000086543617000238/" TargetMode="External"/><Relationship Id="rId612" Type="http://schemas.openxmlformats.org/officeDocument/2006/relationships/hyperlink" Target="https://www.sec.gov/Archives/edgar/data/104169/000010416924000056/" TargetMode="External"/><Relationship Id="rId251" Type="http://schemas.openxmlformats.org/officeDocument/2006/relationships/hyperlink" Target="https://www.sec.gov/Archives/edgar/data/56873/000110465926037723/" TargetMode="External"/><Relationship Id="rId489" Type="http://schemas.openxmlformats.org/officeDocument/2006/relationships/hyperlink" Target="https://www.sec.gov/Archives/edgar/data/104169/000010416924000056/" TargetMode="External"/><Relationship Id="rId654" Type="http://schemas.openxmlformats.org/officeDocument/2006/relationships/hyperlink" Target="https://www.sec.gov/Archives/edgar/data/104169/000010416925000021/" TargetMode="External"/><Relationship Id="rId46" Type="http://schemas.openxmlformats.org/officeDocument/2006/relationships/hyperlink" Target="https://www.sec.gov/Archives/edgar/data/909832/000090983218000013/" TargetMode="External"/><Relationship Id="rId293" Type="http://schemas.openxmlformats.org/officeDocument/2006/relationships/hyperlink" Target="https://www.sec.gov/Archives/edgar/data/56873/000155837020003501/" TargetMode="External"/><Relationship Id="rId307" Type="http://schemas.openxmlformats.org/officeDocument/2006/relationships/hyperlink" Target="https://www.sec.gov/Archives/edgar/data/56873/000155837024004603/" TargetMode="External"/><Relationship Id="rId349" Type="http://schemas.openxmlformats.org/officeDocument/2006/relationships/hyperlink" Target="https://www.sec.gov/Archives/edgar/data/56873/000155837023004767/" TargetMode="External"/><Relationship Id="rId514" Type="http://schemas.openxmlformats.org/officeDocument/2006/relationships/hyperlink" Target="https://www.sec.gov/Archives/edgar/data/104169/000010416926000055/" TargetMode="External"/><Relationship Id="rId556" Type="http://schemas.openxmlformats.org/officeDocument/2006/relationships/hyperlink" Target="https://www.sec.gov/Archives/edgar/data/104169/000010416925000021/" TargetMode="External"/><Relationship Id="rId88" Type="http://schemas.openxmlformats.org/officeDocument/2006/relationships/hyperlink" Target="https://www.sec.gov/Archives/edgar/data/909832/000090983217000014/" TargetMode="External"/><Relationship Id="rId111" Type="http://schemas.openxmlformats.org/officeDocument/2006/relationships/hyperlink" Target="https://www.sec.gov/Archives/edgar/data/909832/000090983217000014/" TargetMode="External"/><Relationship Id="rId153" Type="http://schemas.openxmlformats.org/officeDocument/2006/relationships/hyperlink" Target="https://www.sec.gov/Archives/edgar/data/909832/000090983225000101/" TargetMode="External"/><Relationship Id="rId195" Type="http://schemas.openxmlformats.org/officeDocument/2006/relationships/hyperlink" Target="https://www.sec.gov/Archives/edgar/data/56873/000155837020003501/" TargetMode="External"/><Relationship Id="rId209" Type="http://schemas.openxmlformats.org/officeDocument/2006/relationships/hyperlink" Target="https://www.sec.gov/Archives/edgar/data/56873/000155837022004595/" TargetMode="External"/><Relationship Id="rId360" Type="http://schemas.openxmlformats.org/officeDocument/2006/relationships/hyperlink" Target="https://www.sec.gov/Archives/edgar/data/56873/000155837022004595/" TargetMode="External"/><Relationship Id="rId416" Type="http://schemas.openxmlformats.org/officeDocument/2006/relationships/hyperlink" Target="https://www.sec.gov/Archives/edgar/data/865436/000086543617000238/" TargetMode="External"/><Relationship Id="rId598" Type="http://schemas.openxmlformats.org/officeDocument/2006/relationships/hyperlink" Target="https://www.sec.gov/Archives/edgar/data/104169/000010416926000055/" TargetMode="External"/><Relationship Id="rId220" Type="http://schemas.openxmlformats.org/officeDocument/2006/relationships/hyperlink" Target="https://www.sec.gov/Archives/edgar/data/56873/000155837022004595/" TargetMode="External"/><Relationship Id="rId458" Type="http://schemas.openxmlformats.org/officeDocument/2006/relationships/hyperlink" Target="https://www.sec.gov/Archives/edgar/data/865436/000086543617000238/" TargetMode="External"/><Relationship Id="rId623" Type="http://schemas.openxmlformats.org/officeDocument/2006/relationships/hyperlink" Target="https://www.sec.gov/Archives/edgar/data/104169/000010416926000055/" TargetMode="External"/><Relationship Id="rId15" Type="http://schemas.openxmlformats.org/officeDocument/2006/relationships/hyperlink" Target="https://www.sec.gov/Archives/edgar/data/909832/000090983221000014/" TargetMode="External"/><Relationship Id="rId57" Type="http://schemas.openxmlformats.org/officeDocument/2006/relationships/hyperlink" Target="https://www.sec.gov/Archives/edgar/data/909832/000090983217000014/" TargetMode="External"/><Relationship Id="rId262" Type="http://schemas.openxmlformats.org/officeDocument/2006/relationships/hyperlink" Target="https://www.sec.gov/Archives/edgar/data/56873/000155837019002756/" TargetMode="External"/><Relationship Id="rId318" Type="http://schemas.openxmlformats.org/officeDocument/2006/relationships/hyperlink" Target="https://www.sec.gov/Archives/edgar/data/56873/000155837024004603/" TargetMode="External"/><Relationship Id="rId525" Type="http://schemas.openxmlformats.org/officeDocument/2006/relationships/hyperlink" Target="https://www.sec.gov/Archives/edgar/data/104169/000010416926000055/" TargetMode="External"/><Relationship Id="rId567" Type="http://schemas.openxmlformats.org/officeDocument/2006/relationships/hyperlink" Target="https://www.sec.gov/Archives/edgar/data/104169/000010416925000021/" TargetMode="External"/><Relationship Id="rId99" Type="http://schemas.openxmlformats.org/officeDocument/2006/relationships/hyperlink" Target="https://www.sec.gov/Archives/edgar/data/909832/000090983225000101/" TargetMode="External"/><Relationship Id="rId122" Type="http://schemas.openxmlformats.org/officeDocument/2006/relationships/hyperlink" Target="https://www.sec.gov/Archives/edgar/data/909832/000090983217000014/" TargetMode="External"/><Relationship Id="rId164" Type="http://schemas.openxmlformats.org/officeDocument/2006/relationships/hyperlink" Target="https://www.sec.gov/Archives/edgar/data/909832/000090983221000014/" TargetMode="External"/><Relationship Id="rId371" Type="http://schemas.openxmlformats.org/officeDocument/2006/relationships/hyperlink" Target="https://www.sec.gov/Archives/edgar/data/56873/000155837024004603/" TargetMode="External"/><Relationship Id="rId427" Type="http://schemas.openxmlformats.org/officeDocument/2006/relationships/hyperlink" Target="https://www.sec.gov/Archives/edgar/data/865436/000086543616000366/" TargetMode="External"/><Relationship Id="rId469" Type="http://schemas.openxmlformats.org/officeDocument/2006/relationships/hyperlink" Target="https://www.sec.gov/Archives/edgar/data/104169/000010416926000055/" TargetMode="External"/><Relationship Id="rId634" Type="http://schemas.openxmlformats.org/officeDocument/2006/relationships/hyperlink" Target="https://www.sec.gov/Archives/edgar/data/104169/000010416925000021/" TargetMode="External"/><Relationship Id="rId26" Type="http://schemas.openxmlformats.org/officeDocument/2006/relationships/hyperlink" Target="https://www.sec.gov/Archives/edgar/data/909832/000090983220000017/" TargetMode="External"/><Relationship Id="rId231" Type="http://schemas.openxmlformats.org/officeDocument/2006/relationships/hyperlink" Target="https://www.sec.gov/Archives/edgar/data/56873/000155837022004595/" TargetMode="External"/><Relationship Id="rId273" Type="http://schemas.openxmlformats.org/officeDocument/2006/relationships/hyperlink" Target="https://www.sec.gov/Archives/edgar/data/56873/000155837019002756/" TargetMode="External"/><Relationship Id="rId329" Type="http://schemas.openxmlformats.org/officeDocument/2006/relationships/hyperlink" Target="https://www.sec.gov/Archives/edgar/data/56873/000110465926037723/" TargetMode="External"/><Relationship Id="rId480" Type="http://schemas.openxmlformats.org/officeDocument/2006/relationships/hyperlink" Target="https://www.sec.gov/Archives/edgar/data/104169/000010416926000055/" TargetMode="External"/><Relationship Id="rId536" Type="http://schemas.openxmlformats.org/officeDocument/2006/relationships/hyperlink" Target="https://www.sec.gov/Archives/edgar/data/104169/000010416926000055/" TargetMode="External"/><Relationship Id="rId68" Type="http://schemas.openxmlformats.org/officeDocument/2006/relationships/hyperlink" Target="https://www.sec.gov/Archives/edgar/data/909832/000090983220000017/" TargetMode="External"/><Relationship Id="rId133" Type="http://schemas.openxmlformats.org/officeDocument/2006/relationships/hyperlink" Target="https://www.sec.gov/Archives/edgar/data/909832/000090983217000014/" TargetMode="External"/><Relationship Id="rId175" Type="http://schemas.openxmlformats.org/officeDocument/2006/relationships/hyperlink" Target="https://www.sec.gov/Archives/edgar/data/909832/000090983222000021/" TargetMode="External"/><Relationship Id="rId340" Type="http://schemas.openxmlformats.org/officeDocument/2006/relationships/hyperlink" Target="https://www.sec.gov/Archives/edgar/data/56873/000155837023004767/" TargetMode="External"/><Relationship Id="rId578" Type="http://schemas.openxmlformats.org/officeDocument/2006/relationships/hyperlink" Target="https://www.sec.gov/Archives/edgar/data/104169/000010416926000055/" TargetMode="External"/><Relationship Id="rId200" Type="http://schemas.openxmlformats.org/officeDocument/2006/relationships/hyperlink" Target="https://www.sec.gov/Archives/edgar/data/56873/000155837025004267/" TargetMode="External"/><Relationship Id="rId382" Type="http://schemas.openxmlformats.org/officeDocument/2006/relationships/hyperlink" Target="https://www.sec.gov/Archives/edgar/data/104169/000010416919000016/" TargetMode="External"/><Relationship Id="rId438" Type="http://schemas.openxmlformats.org/officeDocument/2006/relationships/hyperlink" Target="https://www.sec.gov/Archives/edgar/data/865436/000086543617000238/" TargetMode="External"/><Relationship Id="rId603" Type="http://schemas.openxmlformats.org/officeDocument/2006/relationships/hyperlink" Target="https://www.sec.gov/Archives/edgar/data/104169/000010416923000020/" TargetMode="External"/><Relationship Id="rId645" Type="http://schemas.openxmlformats.org/officeDocument/2006/relationships/hyperlink" Target="https://www.sec.gov/Archives/edgar/data/104169/000010416926000055/" TargetMode="External"/><Relationship Id="rId242" Type="http://schemas.openxmlformats.org/officeDocument/2006/relationships/hyperlink" Target="https://www.sec.gov/Archives/edgar/data/56873/000155837025004267/" TargetMode="External"/><Relationship Id="rId284" Type="http://schemas.openxmlformats.org/officeDocument/2006/relationships/hyperlink" Target="https://www.sec.gov/Archives/edgar/data/56873/000155837022004595/" TargetMode="External"/><Relationship Id="rId491" Type="http://schemas.openxmlformats.org/officeDocument/2006/relationships/hyperlink" Target="https://www.sec.gov/Archives/edgar/data/104169/000010416926000055/" TargetMode="External"/><Relationship Id="rId505" Type="http://schemas.openxmlformats.org/officeDocument/2006/relationships/hyperlink" Target="https://www.sec.gov/Archives/edgar/data/104169/000010416918000028/" TargetMode="External"/><Relationship Id="rId37" Type="http://schemas.openxmlformats.org/officeDocument/2006/relationships/hyperlink" Target="https://www.sec.gov/Archives/edgar/data/909832/000090983220000017/" TargetMode="External"/><Relationship Id="rId79" Type="http://schemas.openxmlformats.org/officeDocument/2006/relationships/hyperlink" Target="https://www.sec.gov/Archives/edgar/data/909832/000090983218000013/" TargetMode="External"/><Relationship Id="rId102" Type="http://schemas.openxmlformats.org/officeDocument/2006/relationships/hyperlink" Target="https://www.sec.gov/Archives/edgar/data/909832/000090983218000013/" TargetMode="External"/><Relationship Id="rId144" Type="http://schemas.openxmlformats.org/officeDocument/2006/relationships/hyperlink" Target="https://www.sec.gov/Archives/edgar/data/909832/000090983220000017/" TargetMode="External"/><Relationship Id="rId547" Type="http://schemas.openxmlformats.org/officeDocument/2006/relationships/hyperlink" Target="https://www.sec.gov/Archives/edgar/data/104169/000010416926000055/" TargetMode="External"/><Relationship Id="rId589" Type="http://schemas.openxmlformats.org/officeDocument/2006/relationships/hyperlink" Target="https://www.sec.gov/Archives/edgar/data/104169/000010416926000055/" TargetMode="External"/><Relationship Id="rId90" Type="http://schemas.openxmlformats.org/officeDocument/2006/relationships/hyperlink" Target="https://www.sec.gov/Archives/edgar/data/909832/000090983217000014/" TargetMode="External"/><Relationship Id="rId186" Type="http://schemas.openxmlformats.org/officeDocument/2006/relationships/hyperlink" Target="https://www.sec.gov/Archives/edgar/data/909832/000090983221000014/" TargetMode="External"/><Relationship Id="rId351" Type="http://schemas.openxmlformats.org/officeDocument/2006/relationships/hyperlink" Target="https://www.sec.gov/Archives/edgar/data/56873/000155837025004267/" TargetMode="External"/><Relationship Id="rId393" Type="http://schemas.openxmlformats.org/officeDocument/2006/relationships/hyperlink" Target="https://www.sec.gov/Archives/edgar/data/104169/000010416919000016/" TargetMode="External"/><Relationship Id="rId407" Type="http://schemas.openxmlformats.org/officeDocument/2006/relationships/hyperlink" Target="https://www.sec.gov/Archives/edgar/data/104169/000010416922000012/" TargetMode="External"/><Relationship Id="rId449" Type="http://schemas.openxmlformats.org/officeDocument/2006/relationships/hyperlink" Target="https://www.sec.gov/Archives/edgar/data/865436/000086543617000238/" TargetMode="External"/><Relationship Id="rId614" Type="http://schemas.openxmlformats.org/officeDocument/2006/relationships/hyperlink" Target="https://www.sec.gov/Archives/edgar/data/104169/000010416926000055/" TargetMode="External"/><Relationship Id="rId656" Type="http://schemas.openxmlformats.org/officeDocument/2006/relationships/hyperlink" Target="https://www.sec.gov/Archives/edgar/data/104169/000010416926000055/" TargetMode="External"/><Relationship Id="rId211" Type="http://schemas.openxmlformats.org/officeDocument/2006/relationships/hyperlink" Target="https://www.sec.gov/Archives/edgar/data/56873/000155837024004603/" TargetMode="External"/><Relationship Id="rId253" Type="http://schemas.openxmlformats.org/officeDocument/2006/relationships/hyperlink" Target="https://www.sec.gov/Archives/edgar/data/56873/000155837020003501/" TargetMode="External"/><Relationship Id="rId295" Type="http://schemas.openxmlformats.org/officeDocument/2006/relationships/hyperlink" Target="https://www.sec.gov/Archives/edgar/data/56873/000155837022004595/" TargetMode="External"/><Relationship Id="rId309" Type="http://schemas.openxmlformats.org/officeDocument/2006/relationships/hyperlink" Target="https://www.sec.gov/Archives/edgar/data/56873/000110465926037723/" TargetMode="External"/><Relationship Id="rId460" Type="http://schemas.openxmlformats.org/officeDocument/2006/relationships/hyperlink" Target="https://www.sec.gov/Archives/edgar/data/104169/000010416918000028/" TargetMode="External"/><Relationship Id="rId516" Type="http://schemas.openxmlformats.org/officeDocument/2006/relationships/hyperlink" Target="https://www.sec.gov/Archives/edgar/data/104169/000010416918000028/" TargetMode="External"/><Relationship Id="rId48" Type="http://schemas.openxmlformats.org/officeDocument/2006/relationships/hyperlink" Target="https://www.sec.gov/Archives/edgar/data/909832/000090983220000017/" TargetMode="External"/><Relationship Id="rId113" Type="http://schemas.openxmlformats.org/officeDocument/2006/relationships/hyperlink" Target="https://www.sec.gov/Archives/edgar/data/909832/000090983218000013/" TargetMode="External"/><Relationship Id="rId320" Type="http://schemas.openxmlformats.org/officeDocument/2006/relationships/hyperlink" Target="https://www.sec.gov/Archives/edgar/data/56873/000110465926037723/" TargetMode="External"/><Relationship Id="rId558" Type="http://schemas.openxmlformats.org/officeDocument/2006/relationships/hyperlink" Target="https://www.sec.gov/Archives/edgar/data/104169/000010416926000055/" TargetMode="External"/><Relationship Id="rId155" Type="http://schemas.openxmlformats.org/officeDocument/2006/relationships/hyperlink" Target="https://www.sec.gov/Archives/edgar/data/909832/000090983221000014/" TargetMode="External"/><Relationship Id="rId197" Type="http://schemas.openxmlformats.org/officeDocument/2006/relationships/hyperlink" Target="https://www.sec.gov/Archives/edgar/data/56873/000155837022004595/" TargetMode="External"/><Relationship Id="rId362" Type="http://schemas.openxmlformats.org/officeDocument/2006/relationships/hyperlink" Target="https://www.sec.gov/Archives/edgar/data/56873/000155837024004603/" TargetMode="External"/><Relationship Id="rId418" Type="http://schemas.openxmlformats.org/officeDocument/2006/relationships/hyperlink" Target="https://www.sec.gov/Archives/edgar/data/865436/000086543617000238/" TargetMode="External"/><Relationship Id="rId625" Type="http://schemas.openxmlformats.org/officeDocument/2006/relationships/hyperlink" Target="https://www.sec.gov/Archives/edgar/data/104169/000010416926000055/" TargetMode="External"/><Relationship Id="rId222" Type="http://schemas.openxmlformats.org/officeDocument/2006/relationships/hyperlink" Target="https://www.sec.gov/Archives/edgar/data/56873/000155837024004603/" TargetMode="External"/><Relationship Id="rId264" Type="http://schemas.openxmlformats.org/officeDocument/2006/relationships/hyperlink" Target="https://www.sec.gov/Archives/edgar/data/56873/000155837021003706/" TargetMode="External"/><Relationship Id="rId471" Type="http://schemas.openxmlformats.org/officeDocument/2006/relationships/hyperlink" Target="https://www.sec.gov/Archives/edgar/data/104169/000010416917000021/" TargetMode="External"/><Relationship Id="rId17" Type="http://schemas.openxmlformats.org/officeDocument/2006/relationships/hyperlink" Target="https://www.sec.gov/Archives/edgar/data/909832/000090983223000042/" TargetMode="External"/><Relationship Id="rId59" Type="http://schemas.openxmlformats.org/officeDocument/2006/relationships/hyperlink" Target="https://www.sec.gov/Archives/edgar/data/909832/000090983219000019/" TargetMode="External"/><Relationship Id="rId124" Type="http://schemas.openxmlformats.org/officeDocument/2006/relationships/hyperlink" Target="https://www.sec.gov/Archives/edgar/data/909832/000090983219000019/" TargetMode="External"/><Relationship Id="rId527" Type="http://schemas.openxmlformats.org/officeDocument/2006/relationships/hyperlink" Target="https://www.sec.gov/Archives/edgar/data/104169/000010416917000021/" TargetMode="External"/><Relationship Id="rId569" Type="http://schemas.openxmlformats.org/officeDocument/2006/relationships/hyperlink" Target="https://www.sec.gov/Archives/edgar/data/104169/000010416926000055/" TargetMode="External"/><Relationship Id="rId70" Type="http://schemas.openxmlformats.org/officeDocument/2006/relationships/hyperlink" Target="https://www.sec.gov/Archives/edgar/data/909832/000090983225000101/" TargetMode="External"/><Relationship Id="rId166" Type="http://schemas.openxmlformats.org/officeDocument/2006/relationships/hyperlink" Target="https://www.sec.gov/Archives/edgar/data/909832/000090983223000042/" TargetMode="External"/><Relationship Id="rId331" Type="http://schemas.openxmlformats.org/officeDocument/2006/relationships/hyperlink" Target="https://www.sec.gov/Archives/edgar/data/56873/000155837022004595/" TargetMode="External"/><Relationship Id="rId373" Type="http://schemas.openxmlformats.org/officeDocument/2006/relationships/hyperlink" Target="https://www.sec.gov/Archives/edgar/data/56873/000110465926037723/" TargetMode="External"/><Relationship Id="rId429" Type="http://schemas.openxmlformats.org/officeDocument/2006/relationships/hyperlink" Target="https://www.sec.gov/Archives/edgar/data/865436/000086543616000366/" TargetMode="External"/><Relationship Id="rId580" Type="http://schemas.openxmlformats.org/officeDocument/2006/relationships/hyperlink" Target="https://www.sec.gov/Archives/edgar/data/104169/000010416926000055/" TargetMode="External"/><Relationship Id="rId636" Type="http://schemas.openxmlformats.org/officeDocument/2006/relationships/hyperlink" Target="https://www.sec.gov/Archives/edgar/data/104169/000010416926000055/" TargetMode="External"/><Relationship Id="rId1" Type="http://schemas.openxmlformats.org/officeDocument/2006/relationships/hyperlink" Target="https://www.sec.gov/Archives/edgar/data/1018724/000101872419000004/" TargetMode="External"/><Relationship Id="rId233" Type="http://schemas.openxmlformats.org/officeDocument/2006/relationships/hyperlink" Target="https://www.sec.gov/Archives/edgar/data/56873/000155837024004603/" TargetMode="External"/><Relationship Id="rId440" Type="http://schemas.openxmlformats.org/officeDocument/2006/relationships/hyperlink" Target="https://www.sec.gov/Archives/edgar/data/865436/000086543617000238/" TargetMode="External"/><Relationship Id="rId28" Type="http://schemas.openxmlformats.org/officeDocument/2006/relationships/hyperlink" Target="https://www.sec.gov/Archives/edgar/data/909832/000090983222000021/" TargetMode="External"/><Relationship Id="rId275" Type="http://schemas.openxmlformats.org/officeDocument/2006/relationships/hyperlink" Target="https://www.sec.gov/Archives/edgar/data/56873/000155837017002198/" TargetMode="External"/><Relationship Id="rId300" Type="http://schemas.openxmlformats.org/officeDocument/2006/relationships/hyperlink" Target="https://www.sec.gov/Archives/edgar/data/56873/000110465926037723/" TargetMode="External"/><Relationship Id="rId482" Type="http://schemas.openxmlformats.org/officeDocument/2006/relationships/hyperlink" Target="https://www.sec.gov/Archives/edgar/data/104169/000010416917000021/" TargetMode="External"/><Relationship Id="rId538" Type="http://schemas.openxmlformats.org/officeDocument/2006/relationships/hyperlink" Target="https://www.sec.gov/Archives/edgar/data/104169/000010416918000028/" TargetMode="External"/><Relationship Id="rId81" Type="http://schemas.openxmlformats.org/officeDocument/2006/relationships/hyperlink" Target="https://www.sec.gov/Archives/edgar/data/909832/000090983221000014/" TargetMode="External"/><Relationship Id="rId135" Type="http://schemas.openxmlformats.org/officeDocument/2006/relationships/hyperlink" Target="https://www.sec.gov/Archives/edgar/data/909832/000090983218000013/" TargetMode="External"/><Relationship Id="rId177" Type="http://schemas.openxmlformats.org/officeDocument/2006/relationships/hyperlink" Target="https://www.sec.gov/Archives/edgar/data/909832/000090983224000049/" TargetMode="External"/><Relationship Id="rId342" Type="http://schemas.openxmlformats.org/officeDocument/2006/relationships/hyperlink" Target="https://www.sec.gov/Archives/edgar/data/56873/000155837025004267/" TargetMode="External"/><Relationship Id="rId384" Type="http://schemas.openxmlformats.org/officeDocument/2006/relationships/hyperlink" Target="https://www.sec.gov/Archives/edgar/data/104169/000010416921000033/" TargetMode="External"/><Relationship Id="rId591" Type="http://schemas.openxmlformats.org/officeDocument/2006/relationships/hyperlink" Target="https://www.sec.gov/Archives/edgar/data/104169/000010416926000055/" TargetMode="External"/><Relationship Id="rId605" Type="http://schemas.openxmlformats.org/officeDocument/2006/relationships/hyperlink" Target="https://www.sec.gov/Archives/edgar/data/104169/000010416925000021/" TargetMode="External"/><Relationship Id="rId202" Type="http://schemas.openxmlformats.org/officeDocument/2006/relationships/hyperlink" Target="https://www.sec.gov/Archives/edgar/data/56873/000110465926037723/" TargetMode="External"/><Relationship Id="rId244" Type="http://schemas.openxmlformats.org/officeDocument/2006/relationships/hyperlink" Target="https://www.sec.gov/Archives/edgar/data/56873/000110465926037723/" TargetMode="External"/><Relationship Id="rId647" Type="http://schemas.openxmlformats.org/officeDocument/2006/relationships/hyperlink" Target="https://www.sec.gov/Archives/edgar/data/104169/000010416926000055/" TargetMode="External"/><Relationship Id="rId39" Type="http://schemas.openxmlformats.org/officeDocument/2006/relationships/hyperlink" Target="https://www.sec.gov/Archives/edgar/data/909832/000090983222000021/" TargetMode="External"/><Relationship Id="rId286" Type="http://schemas.openxmlformats.org/officeDocument/2006/relationships/hyperlink" Target="https://www.sec.gov/Archives/edgar/data/56873/000155837024004603/" TargetMode="External"/><Relationship Id="rId451" Type="http://schemas.openxmlformats.org/officeDocument/2006/relationships/hyperlink" Target="https://www.sec.gov/Archives/edgar/data/865436/000086543617000238/" TargetMode="External"/><Relationship Id="rId493" Type="http://schemas.openxmlformats.org/officeDocument/2006/relationships/hyperlink" Target="https://www.sec.gov/Archives/edgar/data/104169/000010416917000021/" TargetMode="External"/><Relationship Id="rId507" Type="http://schemas.openxmlformats.org/officeDocument/2006/relationships/hyperlink" Target="https://www.sec.gov/Archives/edgar/data/104169/000010416920000011/" TargetMode="External"/><Relationship Id="rId549" Type="http://schemas.openxmlformats.org/officeDocument/2006/relationships/hyperlink" Target="https://www.sec.gov/Archives/edgar/data/104169/000010416918000028/" TargetMode="External"/><Relationship Id="rId50" Type="http://schemas.openxmlformats.org/officeDocument/2006/relationships/hyperlink" Target="https://www.sec.gov/Archives/edgar/data/909832/000090983222000021/" TargetMode="External"/><Relationship Id="rId104" Type="http://schemas.openxmlformats.org/officeDocument/2006/relationships/hyperlink" Target="https://www.sec.gov/Archives/edgar/data/909832/000090983220000017/" TargetMode="External"/><Relationship Id="rId146" Type="http://schemas.openxmlformats.org/officeDocument/2006/relationships/hyperlink" Target="https://www.sec.gov/Archives/edgar/data/909832/000090983225000101/" TargetMode="External"/><Relationship Id="rId188" Type="http://schemas.openxmlformats.org/officeDocument/2006/relationships/hyperlink" Target="https://www.sec.gov/Archives/edgar/data/909832/000090983223000042/" TargetMode="External"/><Relationship Id="rId311" Type="http://schemas.openxmlformats.org/officeDocument/2006/relationships/hyperlink" Target="https://www.sec.gov/Archives/edgar/data/56873/000110465926037723/" TargetMode="External"/><Relationship Id="rId353" Type="http://schemas.openxmlformats.org/officeDocument/2006/relationships/hyperlink" Target="https://www.sec.gov/Archives/edgar/data/56873/000110465926037723/" TargetMode="External"/><Relationship Id="rId395" Type="http://schemas.openxmlformats.org/officeDocument/2006/relationships/hyperlink" Target="https://www.sec.gov/Archives/edgar/data/104169/000010416921000033/" TargetMode="External"/><Relationship Id="rId409" Type="http://schemas.openxmlformats.org/officeDocument/2006/relationships/hyperlink" Target="https://www.sec.gov/Archives/edgar/data/104169/000010416924000056/" TargetMode="External"/><Relationship Id="rId560" Type="http://schemas.openxmlformats.org/officeDocument/2006/relationships/hyperlink" Target="https://www.sec.gov/Archives/edgar/data/104169/000010416918000028/" TargetMode="External"/><Relationship Id="rId92" Type="http://schemas.openxmlformats.org/officeDocument/2006/relationships/hyperlink" Target="https://www.sec.gov/Archives/edgar/data/909832/000090983218000013/" TargetMode="External"/><Relationship Id="rId213" Type="http://schemas.openxmlformats.org/officeDocument/2006/relationships/hyperlink" Target="https://www.sec.gov/Archives/edgar/data/56873/000110465926037723/" TargetMode="External"/><Relationship Id="rId420" Type="http://schemas.openxmlformats.org/officeDocument/2006/relationships/hyperlink" Target="https://www.sec.gov/Archives/edgar/data/865436/000086543616000366/" TargetMode="External"/><Relationship Id="rId616" Type="http://schemas.openxmlformats.org/officeDocument/2006/relationships/hyperlink" Target="https://www.sec.gov/Archives/edgar/data/104169/000010416919000016/" TargetMode="External"/><Relationship Id="rId658" Type="http://schemas.openxmlformats.org/officeDocument/2006/relationships/hyperlink" Target="https://www.sec.gov/Archives/edgar/data/104169/000010416926000055/" TargetMode="External"/><Relationship Id="rId255" Type="http://schemas.openxmlformats.org/officeDocument/2006/relationships/hyperlink" Target="https://www.sec.gov/Archives/edgar/data/56873/000155837022004595/" TargetMode="External"/><Relationship Id="rId297" Type="http://schemas.openxmlformats.org/officeDocument/2006/relationships/hyperlink" Target="https://www.sec.gov/Archives/edgar/data/56873/000155837024004603/" TargetMode="External"/><Relationship Id="rId462" Type="http://schemas.openxmlformats.org/officeDocument/2006/relationships/hyperlink" Target="https://www.sec.gov/Archives/edgar/data/104169/000010416920000011/" TargetMode="External"/><Relationship Id="rId518" Type="http://schemas.openxmlformats.org/officeDocument/2006/relationships/hyperlink" Target="https://www.sec.gov/Archives/edgar/data/104169/000010416920000011/" TargetMode="External"/><Relationship Id="rId115" Type="http://schemas.openxmlformats.org/officeDocument/2006/relationships/hyperlink" Target="https://www.sec.gov/Archives/edgar/data/909832/000090983221000014/" TargetMode="External"/><Relationship Id="rId157" Type="http://schemas.openxmlformats.org/officeDocument/2006/relationships/hyperlink" Target="https://www.sec.gov/Archives/edgar/data/909832/000090983223000042/" TargetMode="External"/><Relationship Id="rId322" Type="http://schemas.openxmlformats.org/officeDocument/2006/relationships/hyperlink" Target="https://www.sec.gov/Archives/edgar/data/56873/000110465926037723/" TargetMode="External"/><Relationship Id="rId364" Type="http://schemas.openxmlformats.org/officeDocument/2006/relationships/hyperlink" Target="https://www.sec.gov/Archives/edgar/data/56873/000110465926037723/" TargetMode="External"/><Relationship Id="rId61" Type="http://schemas.openxmlformats.org/officeDocument/2006/relationships/hyperlink" Target="https://www.sec.gov/Archives/edgar/data/909832/000090983225000101/" TargetMode="External"/><Relationship Id="rId199" Type="http://schemas.openxmlformats.org/officeDocument/2006/relationships/hyperlink" Target="https://www.sec.gov/Archives/edgar/data/56873/000155837024004603/" TargetMode="External"/><Relationship Id="rId571" Type="http://schemas.openxmlformats.org/officeDocument/2006/relationships/hyperlink" Target="https://www.sec.gov/Archives/edgar/data/104169/000010416919000016/" TargetMode="External"/><Relationship Id="rId627" Type="http://schemas.openxmlformats.org/officeDocument/2006/relationships/hyperlink" Target="https://www.sec.gov/Archives/edgar/data/104169/000010416918000028/" TargetMode="External"/><Relationship Id="rId19" Type="http://schemas.openxmlformats.org/officeDocument/2006/relationships/hyperlink" Target="https://www.sec.gov/Archives/edgar/data/909832/000090983225000101/" TargetMode="External"/><Relationship Id="rId224" Type="http://schemas.openxmlformats.org/officeDocument/2006/relationships/hyperlink" Target="https://www.sec.gov/Archives/edgar/data/56873/000110465926037723/" TargetMode="External"/><Relationship Id="rId266" Type="http://schemas.openxmlformats.org/officeDocument/2006/relationships/hyperlink" Target="https://www.sec.gov/Archives/edgar/data/56873/000155837023004767/" TargetMode="External"/><Relationship Id="rId431" Type="http://schemas.openxmlformats.org/officeDocument/2006/relationships/hyperlink" Target="https://www.sec.gov/Archives/edgar/data/865436/000086543617000238/" TargetMode="External"/><Relationship Id="rId473" Type="http://schemas.openxmlformats.org/officeDocument/2006/relationships/hyperlink" Target="https://www.sec.gov/Archives/edgar/data/104169/000010416919000016/" TargetMode="External"/><Relationship Id="rId529" Type="http://schemas.openxmlformats.org/officeDocument/2006/relationships/hyperlink" Target="https://www.sec.gov/Archives/edgar/data/104169/000010416920000011/" TargetMode="External"/><Relationship Id="rId30" Type="http://schemas.openxmlformats.org/officeDocument/2006/relationships/hyperlink" Target="https://www.sec.gov/Archives/edgar/data/909832/000090983224000049/" TargetMode="External"/><Relationship Id="rId126" Type="http://schemas.openxmlformats.org/officeDocument/2006/relationships/hyperlink" Target="https://www.sec.gov/Archives/edgar/data/909832/000090983221000014/" TargetMode="External"/><Relationship Id="rId168" Type="http://schemas.openxmlformats.org/officeDocument/2006/relationships/hyperlink" Target="https://www.sec.gov/Archives/edgar/data/909832/000090983225000101/" TargetMode="External"/><Relationship Id="rId333" Type="http://schemas.openxmlformats.org/officeDocument/2006/relationships/hyperlink" Target="https://www.sec.gov/Archives/edgar/data/56873/000155837024004603/" TargetMode="External"/><Relationship Id="rId540" Type="http://schemas.openxmlformats.org/officeDocument/2006/relationships/hyperlink" Target="https://www.sec.gov/Archives/edgar/data/104169/000010416920000011/" TargetMode="External"/><Relationship Id="rId72" Type="http://schemas.openxmlformats.org/officeDocument/2006/relationships/hyperlink" Target="https://www.sec.gov/Archives/edgar/data/909832/000090983221000014/" TargetMode="External"/><Relationship Id="rId375" Type="http://schemas.openxmlformats.org/officeDocument/2006/relationships/hyperlink" Target="https://www.sec.gov/Archives/edgar/data/56873/000110465926037723/" TargetMode="External"/><Relationship Id="rId582" Type="http://schemas.openxmlformats.org/officeDocument/2006/relationships/hyperlink" Target="https://www.sec.gov/Archives/edgar/data/104169/000010416919000016/" TargetMode="External"/><Relationship Id="rId638" Type="http://schemas.openxmlformats.org/officeDocument/2006/relationships/hyperlink" Target="https://www.sec.gov/Archives/edgar/data/104169/000010416919000016/" TargetMode="External"/><Relationship Id="rId3" Type="http://schemas.openxmlformats.org/officeDocument/2006/relationships/hyperlink" Target="https://www.sec.gov/Archives/edgar/data/1018724/000101872421000004/" TargetMode="External"/><Relationship Id="rId235" Type="http://schemas.openxmlformats.org/officeDocument/2006/relationships/hyperlink" Target="https://www.sec.gov/Archives/edgar/data/56873/000110465926037723/" TargetMode="External"/><Relationship Id="rId277" Type="http://schemas.openxmlformats.org/officeDocument/2006/relationships/hyperlink" Target="https://www.sec.gov/Archives/edgar/data/56873/000155837019002756/" TargetMode="External"/><Relationship Id="rId400" Type="http://schemas.openxmlformats.org/officeDocument/2006/relationships/hyperlink" Target="https://www.sec.gov/Archives/edgar/data/104169/000010416926000055/" TargetMode="External"/><Relationship Id="rId442" Type="http://schemas.openxmlformats.org/officeDocument/2006/relationships/hyperlink" Target="https://www.sec.gov/Archives/edgar/data/865436/000086543616000366/" TargetMode="External"/><Relationship Id="rId484" Type="http://schemas.openxmlformats.org/officeDocument/2006/relationships/hyperlink" Target="https://www.sec.gov/Archives/edgar/data/104169/000010416919000016/" TargetMode="External"/><Relationship Id="rId137" Type="http://schemas.openxmlformats.org/officeDocument/2006/relationships/hyperlink" Target="https://www.sec.gov/Archives/edgar/data/909832/000090983221000014/" TargetMode="External"/><Relationship Id="rId302" Type="http://schemas.openxmlformats.org/officeDocument/2006/relationships/hyperlink" Target="https://www.sec.gov/Archives/edgar/data/56873/000155837019002756/" TargetMode="External"/><Relationship Id="rId344" Type="http://schemas.openxmlformats.org/officeDocument/2006/relationships/hyperlink" Target="https://www.sec.gov/Archives/edgar/data/56873/000155837018003055/" TargetMode="External"/><Relationship Id="rId41" Type="http://schemas.openxmlformats.org/officeDocument/2006/relationships/hyperlink" Target="https://www.sec.gov/Archives/edgar/data/909832/000090983224000049/" TargetMode="External"/><Relationship Id="rId83" Type="http://schemas.openxmlformats.org/officeDocument/2006/relationships/hyperlink" Target="https://www.sec.gov/Archives/edgar/data/909832/000090983223000042/" TargetMode="External"/><Relationship Id="rId179" Type="http://schemas.openxmlformats.org/officeDocument/2006/relationships/hyperlink" Target="https://www.sec.gov/Archives/edgar/data/909832/000090983225000101/" TargetMode="External"/><Relationship Id="rId386" Type="http://schemas.openxmlformats.org/officeDocument/2006/relationships/hyperlink" Target="https://www.sec.gov/Archives/edgar/data/104169/000010416923000020/" TargetMode="External"/><Relationship Id="rId551" Type="http://schemas.openxmlformats.org/officeDocument/2006/relationships/hyperlink" Target="https://www.sec.gov/Archives/edgar/data/104169/000010416920000011/" TargetMode="External"/><Relationship Id="rId593" Type="http://schemas.openxmlformats.org/officeDocument/2006/relationships/hyperlink" Target="https://www.sec.gov/Archives/edgar/data/104169/000010416921000033/" TargetMode="External"/><Relationship Id="rId607" Type="http://schemas.openxmlformats.org/officeDocument/2006/relationships/hyperlink" Target="https://www.sec.gov/Archives/edgar/data/104169/000010416926000055/" TargetMode="External"/><Relationship Id="rId649" Type="http://schemas.openxmlformats.org/officeDocument/2006/relationships/hyperlink" Target="https://www.sec.gov/Archives/edgar/data/104169/000010416920000011/" TargetMode="External"/><Relationship Id="rId190" Type="http://schemas.openxmlformats.org/officeDocument/2006/relationships/hyperlink" Target="https://www.sec.gov/Archives/edgar/data/909832/000090983225000101/" TargetMode="External"/><Relationship Id="rId204" Type="http://schemas.openxmlformats.org/officeDocument/2006/relationships/hyperlink" Target="https://www.sec.gov/Archives/edgar/data/56873/000155837017002198/" TargetMode="External"/><Relationship Id="rId246" Type="http://schemas.openxmlformats.org/officeDocument/2006/relationships/hyperlink" Target="https://www.sec.gov/Archives/edgar/data/56873/000155837021003706/" TargetMode="External"/><Relationship Id="rId288" Type="http://schemas.openxmlformats.org/officeDocument/2006/relationships/hyperlink" Target="https://www.sec.gov/Archives/edgar/data/56873/000110465926037723/" TargetMode="External"/><Relationship Id="rId411" Type="http://schemas.openxmlformats.org/officeDocument/2006/relationships/hyperlink" Target="https://www.sec.gov/Archives/edgar/data/104169/000010416926000055/" TargetMode="External"/><Relationship Id="rId453" Type="http://schemas.openxmlformats.org/officeDocument/2006/relationships/hyperlink" Target="https://www.sec.gov/Archives/edgar/data/865436/000086543617000238/" TargetMode="External"/><Relationship Id="rId509" Type="http://schemas.openxmlformats.org/officeDocument/2006/relationships/hyperlink" Target="https://www.sec.gov/Archives/edgar/data/104169/000010416922000012/" TargetMode="External"/><Relationship Id="rId106" Type="http://schemas.openxmlformats.org/officeDocument/2006/relationships/hyperlink" Target="https://www.sec.gov/Archives/edgar/data/909832/000090983222000021/" TargetMode="External"/><Relationship Id="rId313" Type="http://schemas.openxmlformats.org/officeDocument/2006/relationships/hyperlink" Target="https://www.sec.gov/Archives/edgar/data/56873/000155837019002756/" TargetMode="External"/><Relationship Id="rId495" Type="http://schemas.openxmlformats.org/officeDocument/2006/relationships/hyperlink" Target="https://www.sec.gov/Archives/edgar/data/104169/000010416919000016/" TargetMode="External"/><Relationship Id="rId10" Type="http://schemas.openxmlformats.org/officeDocument/2006/relationships/hyperlink" Target="https://www.sec.gov/Archives/edgar/data/1018724/000101872426000004/" TargetMode="External"/><Relationship Id="rId52" Type="http://schemas.openxmlformats.org/officeDocument/2006/relationships/hyperlink" Target="https://www.sec.gov/Archives/edgar/data/909832/000090983224000049/" TargetMode="External"/><Relationship Id="rId94" Type="http://schemas.openxmlformats.org/officeDocument/2006/relationships/hyperlink" Target="https://www.sec.gov/Archives/edgar/data/909832/000090983221000014/" TargetMode="External"/><Relationship Id="rId148" Type="http://schemas.openxmlformats.org/officeDocument/2006/relationships/hyperlink" Target="https://www.sec.gov/Archives/edgar/data/909832/000090983221000014/" TargetMode="External"/><Relationship Id="rId355" Type="http://schemas.openxmlformats.org/officeDocument/2006/relationships/hyperlink" Target="https://www.sec.gov/Archives/edgar/data/56873/000155837017002198/" TargetMode="External"/><Relationship Id="rId397" Type="http://schemas.openxmlformats.org/officeDocument/2006/relationships/hyperlink" Target="https://www.sec.gov/Archives/edgar/data/104169/000010416923000020/" TargetMode="External"/><Relationship Id="rId520" Type="http://schemas.openxmlformats.org/officeDocument/2006/relationships/hyperlink" Target="https://www.sec.gov/Archives/edgar/data/104169/000010416922000012/" TargetMode="External"/><Relationship Id="rId562" Type="http://schemas.openxmlformats.org/officeDocument/2006/relationships/hyperlink" Target="https://www.sec.gov/Archives/edgar/data/104169/000010416920000011/" TargetMode="External"/><Relationship Id="rId618" Type="http://schemas.openxmlformats.org/officeDocument/2006/relationships/hyperlink" Target="https://www.sec.gov/Archives/edgar/data/104169/000010416921000033/" TargetMode="External"/><Relationship Id="rId215" Type="http://schemas.openxmlformats.org/officeDocument/2006/relationships/hyperlink" Target="https://www.sec.gov/Archives/edgar/data/56873/000155837017002198/" TargetMode="External"/><Relationship Id="rId257" Type="http://schemas.openxmlformats.org/officeDocument/2006/relationships/hyperlink" Target="https://www.sec.gov/Archives/edgar/data/56873/000155837024004603/" TargetMode="External"/><Relationship Id="rId422" Type="http://schemas.openxmlformats.org/officeDocument/2006/relationships/hyperlink" Target="https://www.sec.gov/Archives/edgar/data/865436/000086543617000238/" TargetMode="External"/><Relationship Id="rId464" Type="http://schemas.openxmlformats.org/officeDocument/2006/relationships/hyperlink" Target="https://www.sec.gov/Archives/edgar/data/104169/000010416922000012/" TargetMode="External"/><Relationship Id="rId299" Type="http://schemas.openxmlformats.org/officeDocument/2006/relationships/hyperlink" Target="https://www.sec.gov/Archives/edgar/data/56873/000110465926037723/" TargetMode="External"/><Relationship Id="rId63" Type="http://schemas.openxmlformats.org/officeDocument/2006/relationships/hyperlink" Target="https://www.sec.gov/Archives/edgar/data/909832/000090983215000014/" TargetMode="External"/><Relationship Id="rId159" Type="http://schemas.openxmlformats.org/officeDocument/2006/relationships/hyperlink" Target="https://www.sec.gov/Archives/edgar/data/909832/000090983225000101/" TargetMode="External"/><Relationship Id="rId366" Type="http://schemas.openxmlformats.org/officeDocument/2006/relationships/hyperlink" Target="https://www.sec.gov/Archives/edgar/data/56873/000155837019002756/" TargetMode="External"/><Relationship Id="rId573" Type="http://schemas.openxmlformats.org/officeDocument/2006/relationships/hyperlink" Target="https://www.sec.gov/Archives/edgar/data/104169/000010416921000033/" TargetMode="External"/><Relationship Id="rId226" Type="http://schemas.openxmlformats.org/officeDocument/2006/relationships/hyperlink" Target="https://www.sec.gov/Archives/edgar/data/56873/000155837017002198/" TargetMode="External"/><Relationship Id="rId433" Type="http://schemas.openxmlformats.org/officeDocument/2006/relationships/hyperlink" Target="https://www.sec.gov/Archives/edgar/data/865436/000086543616000366/" TargetMode="External"/><Relationship Id="rId640" Type="http://schemas.openxmlformats.org/officeDocument/2006/relationships/hyperlink" Target="https://www.sec.gov/Archives/edgar/data/104169/000010416921000033/" TargetMode="External"/><Relationship Id="rId74" Type="http://schemas.openxmlformats.org/officeDocument/2006/relationships/hyperlink" Target="https://www.sec.gov/Archives/edgar/data/909832/000090983223000042/" TargetMode="External"/><Relationship Id="rId377" Type="http://schemas.openxmlformats.org/officeDocument/2006/relationships/hyperlink" Target="https://www.sec.gov/Archives/edgar/data/104169/000010416925000021/" TargetMode="External"/><Relationship Id="rId500" Type="http://schemas.openxmlformats.org/officeDocument/2006/relationships/hyperlink" Target="https://www.sec.gov/Archives/edgar/data/104169/000010416924000056/" TargetMode="External"/><Relationship Id="rId584" Type="http://schemas.openxmlformats.org/officeDocument/2006/relationships/hyperlink" Target="https://www.sec.gov/Archives/edgar/data/104169/000010416921000033/" TargetMode="External"/><Relationship Id="rId5" Type="http://schemas.openxmlformats.org/officeDocument/2006/relationships/hyperlink" Target="https://www.sec.gov/Archives/edgar/data/1018724/000101872423000004/" TargetMode="External"/><Relationship Id="rId237" Type="http://schemas.openxmlformats.org/officeDocument/2006/relationships/hyperlink" Target="https://www.sec.gov/Archives/edgar/data/56873/000155837020003501/" TargetMode="External"/><Relationship Id="rId444" Type="http://schemas.openxmlformats.org/officeDocument/2006/relationships/hyperlink" Target="https://www.sec.gov/Archives/edgar/data/865436/000086543617000238/" TargetMode="External"/><Relationship Id="rId651" Type="http://schemas.openxmlformats.org/officeDocument/2006/relationships/hyperlink" Target="https://www.sec.gov/Archives/edgar/data/104169/000010416922000012/" TargetMode="External"/><Relationship Id="rId290" Type="http://schemas.openxmlformats.org/officeDocument/2006/relationships/hyperlink" Target="https://www.sec.gov/Archives/edgar/data/56873/000155837017002198/" TargetMode="External"/><Relationship Id="rId304" Type="http://schemas.openxmlformats.org/officeDocument/2006/relationships/hyperlink" Target="https://www.sec.gov/Archives/edgar/data/56873/000155837021003706/" TargetMode="External"/><Relationship Id="rId388" Type="http://schemas.openxmlformats.org/officeDocument/2006/relationships/hyperlink" Target="https://www.sec.gov/Archives/edgar/data/104169/000010416925000021/" TargetMode="External"/><Relationship Id="rId511" Type="http://schemas.openxmlformats.org/officeDocument/2006/relationships/hyperlink" Target="https://www.sec.gov/Archives/edgar/data/104169/000010416924000056/" TargetMode="External"/><Relationship Id="rId609" Type="http://schemas.openxmlformats.org/officeDocument/2006/relationships/hyperlink" Target="https://www.sec.gov/Archives/edgar/data/104169/000010416921000033/" TargetMode="External"/><Relationship Id="rId85" Type="http://schemas.openxmlformats.org/officeDocument/2006/relationships/hyperlink" Target="https://www.sec.gov/Archives/edgar/data/909832/000090983225000101/" TargetMode="External"/><Relationship Id="rId150" Type="http://schemas.openxmlformats.org/officeDocument/2006/relationships/hyperlink" Target="https://www.sec.gov/Archives/edgar/data/909832/000090983223000042/" TargetMode="External"/><Relationship Id="rId595" Type="http://schemas.openxmlformats.org/officeDocument/2006/relationships/hyperlink" Target="https://www.sec.gov/Archives/edgar/data/104169/000010416923000020/" TargetMode="External"/><Relationship Id="rId248" Type="http://schemas.openxmlformats.org/officeDocument/2006/relationships/hyperlink" Target="https://www.sec.gov/Archives/edgar/data/56873/000155837023004767/" TargetMode="External"/><Relationship Id="rId455" Type="http://schemas.openxmlformats.org/officeDocument/2006/relationships/hyperlink" Target="https://www.sec.gov/Archives/edgar/data/865436/000086543617000238/" TargetMode="External"/><Relationship Id="rId12" Type="http://schemas.openxmlformats.org/officeDocument/2006/relationships/hyperlink" Target="https://www.sec.gov/Archives/edgar/data/909832/000090983218000013/" TargetMode="External"/><Relationship Id="rId108" Type="http://schemas.openxmlformats.org/officeDocument/2006/relationships/hyperlink" Target="https://www.sec.gov/Archives/edgar/data/909832/000090983224000049/" TargetMode="External"/><Relationship Id="rId315" Type="http://schemas.openxmlformats.org/officeDocument/2006/relationships/hyperlink" Target="https://www.sec.gov/Archives/edgar/data/56873/000155837021003706/" TargetMode="External"/><Relationship Id="rId522" Type="http://schemas.openxmlformats.org/officeDocument/2006/relationships/hyperlink" Target="https://www.sec.gov/Archives/edgar/data/104169/000010416924000056/" TargetMode="External"/><Relationship Id="rId96" Type="http://schemas.openxmlformats.org/officeDocument/2006/relationships/hyperlink" Target="https://www.sec.gov/Archives/edgar/data/909832/000090983223000042/" TargetMode="External"/><Relationship Id="rId161" Type="http://schemas.openxmlformats.org/officeDocument/2006/relationships/hyperlink" Target="https://www.sec.gov/Archives/edgar/data/909832/000090983218000013/" TargetMode="External"/><Relationship Id="rId399" Type="http://schemas.openxmlformats.org/officeDocument/2006/relationships/hyperlink" Target="https://www.sec.gov/Archives/edgar/data/104169/000010416925000021/" TargetMode="External"/><Relationship Id="rId259" Type="http://schemas.openxmlformats.org/officeDocument/2006/relationships/hyperlink" Target="https://www.sec.gov/Archives/edgar/data/56873/000110465926037723/" TargetMode="External"/><Relationship Id="rId466" Type="http://schemas.openxmlformats.org/officeDocument/2006/relationships/hyperlink" Target="https://www.sec.gov/Archives/edgar/data/104169/000010416924000056/" TargetMode="External"/><Relationship Id="rId23" Type="http://schemas.openxmlformats.org/officeDocument/2006/relationships/hyperlink" Target="https://www.sec.gov/Archives/edgar/data/909832/000090983217000014/" TargetMode="External"/><Relationship Id="rId119" Type="http://schemas.openxmlformats.org/officeDocument/2006/relationships/hyperlink" Target="https://www.sec.gov/Archives/edgar/data/909832/000090983225000101/" TargetMode="External"/><Relationship Id="rId326" Type="http://schemas.openxmlformats.org/officeDocument/2006/relationships/hyperlink" Target="https://www.sec.gov/Archives/edgar/data/56873/000155837024004603/" TargetMode="External"/><Relationship Id="rId533" Type="http://schemas.openxmlformats.org/officeDocument/2006/relationships/hyperlink" Target="https://www.sec.gov/Archives/edgar/data/104169/000010416923000020/" TargetMode="External"/><Relationship Id="rId172" Type="http://schemas.openxmlformats.org/officeDocument/2006/relationships/hyperlink" Target="https://www.sec.gov/Archives/edgar/data/909832/000090983218000013/" TargetMode="External"/><Relationship Id="rId477" Type="http://schemas.openxmlformats.org/officeDocument/2006/relationships/hyperlink" Target="https://www.sec.gov/Archives/edgar/data/104169/000010416923000020/" TargetMode="External"/><Relationship Id="rId600" Type="http://schemas.openxmlformats.org/officeDocument/2006/relationships/hyperlink" Target="https://www.sec.gov/Archives/edgar/data/104169/000010416920000011/" TargetMode="External"/><Relationship Id="rId337" Type="http://schemas.openxmlformats.org/officeDocument/2006/relationships/hyperlink" Target="https://www.sec.gov/Archives/edgar/data/56873/000155837020003501/" TargetMode="External"/><Relationship Id="rId34" Type="http://schemas.openxmlformats.org/officeDocument/2006/relationships/hyperlink" Target="https://www.sec.gov/Archives/edgar/data/909832/000090983217000014/" TargetMode="External"/><Relationship Id="rId544" Type="http://schemas.openxmlformats.org/officeDocument/2006/relationships/hyperlink" Target="https://www.sec.gov/Archives/edgar/data/104169/000010416924000056/" TargetMode="External"/><Relationship Id="rId183" Type="http://schemas.openxmlformats.org/officeDocument/2006/relationships/hyperlink" Target="https://www.sec.gov/Archives/edgar/data/909832/000090983218000013/" TargetMode="External"/><Relationship Id="rId390" Type="http://schemas.openxmlformats.org/officeDocument/2006/relationships/hyperlink" Target="https://www.sec.gov/Archives/edgar/data/104169/000010416926000055/" TargetMode="External"/><Relationship Id="rId404" Type="http://schemas.openxmlformats.org/officeDocument/2006/relationships/hyperlink" Target="https://www.sec.gov/Archives/edgar/data/104169/000010416919000016/" TargetMode="External"/><Relationship Id="rId611" Type="http://schemas.openxmlformats.org/officeDocument/2006/relationships/hyperlink" Target="https://www.sec.gov/Archives/edgar/data/104169/000010416923000020/" TargetMode="External"/><Relationship Id="rId250" Type="http://schemas.openxmlformats.org/officeDocument/2006/relationships/hyperlink" Target="https://www.sec.gov/Archives/edgar/data/56873/000155837025004267/" TargetMode="External"/><Relationship Id="rId488" Type="http://schemas.openxmlformats.org/officeDocument/2006/relationships/hyperlink" Target="https://www.sec.gov/Archives/edgar/data/104169/000010416923000020/" TargetMode="External"/><Relationship Id="rId45" Type="http://schemas.openxmlformats.org/officeDocument/2006/relationships/hyperlink" Target="https://www.sec.gov/Archives/edgar/data/909832/000090983217000014/" TargetMode="External"/><Relationship Id="rId110" Type="http://schemas.openxmlformats.org/officeDocument/2006/relationships/hyperlink" Target="https://www.sec.gov/Archives/edgar/data/909832/000090983225000101/" TargetMode="External"/><Relationship Id="rId348" Type="http://schemas.openxmlformats.org/officeDocument/2006/relationships/hyperlink" Target="https://www.sec.gov/Archives/edgar/data/56873/000155837022004595/" TargetMode="External"/><Relationship Id="rId555" Type="http://schemas.openxmlformats.org/officeDocument/2006/relationships/hyperlink" Target="https://www.sec.gov/Archives/edgar/data/104169/000010416924000056/" TargetMode="External"/><Relationship Id="rId194" Type="http://schemas.openxmlformats.org/officeDocument/2006/relationships/hyperlink" Target="https://www.sec.gov/Archives/edgar/data/56873/000155837019002756/" TargetMode="External"/><Relationship Id="rId208" Type="http://schemas.openxmlformats.org/officeDocument/2006/relationships/hyperlink" Target="https://www.sec.gov/Archives/edgar/data/56873/000155837021003706/" TargetMode="External"/><Relationship Id="rId415" Type="http://schemas.openxmlformats.org/officeDocument/2006/relationships/hyperlink" Target="https://www.sec.gov/Archives/edgar/data/865436/000086543617000238/" TargetMode="External"/><Relationship Id="rId622" Type="http://schemas.openxmlformats.org/officeDocument/2006/relationships/hyperlink" Target="https://www.sec.gov/Archives/edgar/data/104169/000010416925000021/" TargetMode="External"/><Relationship Id="rId261" Type="http://schemas.openxmlformats.org/officeDocument/2006/relationships/hyperlink" Target="https://www.sec.gov/Archives/edgar/data/56873/000155837018003055/" TargetMode="External"/><Relationship Id="rId499" Type="http://schemas.openxmlformats.org/officeDocument/2006/relationships/hyperlink" Target="https://www.sec.gov/Archives/edgar/data/104169/000010416923000020/" TargetMode="External"/><Relationship Id="rId56" Type="http://schemas.openxmlformats.org/officeDocument/2006/relationships/hyperlink" Target="https://www.sec.gov/Archives/edgar/data/909832/000090983216000032/" TargetMode="External"/><Relationship Id="rId359" Type="http://schemas.openxmlformats.org/officeDocument/2006/relationships/hyperlink" Target="https://www.sec.gov/Archives/edgar/data/56873/000155837021003706/" TargetMode="External"/><Relationship Id="rId566" Type="http://schemas.openxmlformats.org/officeDocument/2006/relationships/hyperlink" Target="https://www.sec.gov/Archives/edgar/data/104169/000010416924000056/" TargetMode="External"/><Relationship Id="rId121" Type="http://schemas.openxmlformats.org/officeDocument/2006/relationships/hyperlink" Target="https://www.sec.gov/Archives/edgar/data/909832/000090983225000101/" TargetMode="External"/><Relationship Id="rId219" Type="http://schemas.openxmlformats.org/officeDocument/2006/relationships/hyperlink" Target="https://www.sec.gov/Archives/edgar/data/56873/000155837021003706/" TargetMode="External"/><Relationship Id="rId426" Type="http://schemas.openxmlformats.org/officeDocument/2006/relationships/hyperlink" Target="https://www.sec.gov/Archives/edgar/data/865436/000086543616000366/" TargetMode="External"/><Relationship Id="rId633" Type="http://schemas.openxmlformats.org/officeDocument/2006/relationships/hyperlink" Target="https://www.sec.gov/Archives/edgar/data/104169/000010416924000056/" TargetMode="External"/><Relationship Id="rId67" Type="http://schemas.openxmlformats.org/officeDocument/2006/relationships/hyperlink" Target="https://www.sec.gov/Archives/edgar/data/909832/000090983219000019/" TargetMode="External"/><Relationship Id="rId272" Type="http://schemas.openxmlformats.org/officeDocument/2006/relationships/hyperlink" Target="https://www.sec.gov/Archives/edgar/data/56873/000155837018003055/" TargetMode="External"/><Relationship Id="rId577" Type="http://schemas.openxmlformats.org/officeDocument/2006/relationships/hyperlink" Target="https://www.sec.gov/Archives/edgar/data/104169/000010416925000021/" TargetMode="External"/><Relationship Id="rId132" Type="http://schemas.openxmlformats.org/officeDocument/2006/relationships/hyperlink" Target="https://www.sec.gov/Archives/edgar/data/909832/000090983225000101/" TargetMode="External"/><Relationship Id="rId437" Type="http://schemas.openxmlformats.org/officeDocument/2006/relationships/hyperlink" Target="https://www.sec.gov/Archives/edgar/data/865436/000086543617000238/" TargetMode="External"/><Relationship Id="rId644" Type="http://schemas.openxmlformats.org/officeDocument/2006/relationships/hyperlink" Target="https://www.sec.gov/Archives/edgar/data/104169/000010416925000021/" TargetMode="External"/><Relationship Id="rId283" Type="http://schemas.openxmlformats.org/officeDocument/2006/relationships/hyperlink" Target="https://www.sec.gov/Archives/edgar/data/56873/000155837021003706/" TargetMode="External"/><Relationship Id="rId490" Type="http://schemas.openxmlformats.org/officeDocument/2006/relationships/hyperlink" Target="https://www.sec.gov/Archives/edgar/data/104169/000010416925000021/" TargetMode="External"/><Relationship Id="rId504" Type="http://schemas.openxmlformats.org/officeDocument/2006/relationships/hyperlink" Target="https://www.sec.gov/Archives/edgar/data/104169/000010416917000021/" TargetMode="External"/><Relationship Id="rId78" Type="http://schemas.openxmlformats.org/officeDocument/2006/relationships/hyperlink" Target="https://www.sec.gov/Archives/edgar/data/909832/000090983218000013/" TargetMode="External"/><Relationship Id="rId143" Type="http://schemas.openxmlformats.org/officeDocument/2006/relationships/hyperlink" Target="https://www.sec.gov/Archives/edgar/data/909832/000090983225000101/" TargetMode="External"/><Relationship Id="rId350" Type="http://schemas.openxmlformats.org/officeDocument/2006/relationships/hyperlink" Target="https://www.sec.gov/Archives/edgar/data/56873/000155837024004603/" TargetMode="External"/><Relationship Id="rId588" Type="http://schemas.openxmlformats.org/officeDocument/2006/relationships/hyperlink" Target="https://www.sec.gov/Archives/edgar/data/104169/000010416925000021/" TargetMode="External"/><Relationship Id="rId9" Type="http://schemas.openxmlformats.org/officeDocument/2006/relationships/hyperlink" Target="https://www.sec.gov/Archives/edgar/data/1018724/000101872426000004/" TargetMode="External"/><Relationship Id="rId210" Type="http://schemas.openxmlformats.org/officeDocument/2006/relationships/hyperlink" Target="https://www.sec.gov/Archives/edgar/data/56873/000155837023004767/" TargetMode="External"/><Relationship Id="rId448" Type="http://schemas.openxmlformats.org/officeDocument/2006/relationships/hyperlink" Target="https://www.sec.gov/Archives/edgar/data/865436/000086543617000238/" TargetMode="External"/><Relationship Id="rId655" Type="http://schemas.openxmlformats.org/officeDocument/2006/relationships/hyperlink" Target="https://www.sec.gov/Archives/edgar/data/104169/000010416926000055/" TargetMode="External"/><Relationship Id="rId294" Type="http://schemas.openxmlformats.org/officeDocument/2006/relationships/hyperlink" Target="https://www.sec.gov/Archives/edgar/data/56873/000155837021003706/" TargetMode="External"/><Relationship Id="rId308" Type="http://schemas.openxmlformats.org/officeDocument/2006/relationships/hyperlink" Target="https://www.sec.gov/Archives/edgar/data/56873/000155837025004267/" TargetMode="External"/><Relationship Id="rId515" Type="http://schemas.openxmlformats.org/officeDocument/2006/relationships/hyperlink" Target="https://www.sec.gov/Archives/edgar/data/104169/000010416917000021/" TargetMode="External"/><Relationship Id="rId89" Type="http://schemas.openxmlformats.org/officeDocument/2006/relationships/hyperlink" Target="https://www.sec.gov/Archives/edgar/data/909832/000090983216000032/" TargetMode="External"/><Relationship Id="rId154" Type="http://schemas.openxmlformats.org/officeDocument/2006/relationships/hyperlink" Target="https://www.sec.gov/Archives/edgar/data/909832/000090983220000017/" TargetMode="External"/><Relationship Id="rId361" Type="http://schemas.openxmlformats.org/officeDocument/2006/relationships/hyperlink" Target="https://www.sec.gov/Archives/edgar/data/56873/000155837023004767/" TargetMode="External"/><Relationship Id="rId599" Type="http://schemas.openxmlformats.org/officeDocument/2006/relationships/hyperlink" Target="https://www.sec.gov/Archives/edgar/data/104169/000010416926000055/" TargetMode="External"/><Relationship Id="rId459" Type="http://schemas.openxmlformats.org/officeDocument/2006/relationships/hyperlink" Target="https://www.sec.gov/Archives/edgar/data/865436/000086543617000238/" TargetMode="External"/><Relationship Id="rId16" Type="http://schemas.openxmlformats.org/officeDocument/2006/relationships/hyperlink" Target="https://www.sec.gov/Archives/edgar/data/909832/000090983222000021/" TargetMode="External"/><Relationship Id="rId221" Type="http://schemas.openxmlformats.org/officeDocument/2006/relationships/hyperlink" Target="https://www.sec.gov/Archives/edgar/data/56873/000155837023004767/" TargetMode="External"/><Relationship Id="rId319" Type="http://schemas.openxmlformats.org/officeDocument/2006/relationships/hyperlink" Target="https://www.sec.gov/Archives/edgar/data/56873/000155837025004267/" TargetMode="External"/><Relationship Id="rId526" Type="http://schemas.openxmlformats.org/officeDocument/2006/relationships/hyperlink" Target="https://www.sec.gov/Archives/edgar/data/104169/0000104169160000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D31"/>
  <sheetViews>
    <sheetView showGridLines="0" tabSelected="1" workbookViewId="0"/>
  </sheetViews>
  <sheetFormatPr defaultRowHeight="14.4" x14ac:dyDescent="0.3"/>
  <cols>
    <col min="1" max="1" width="4" customWidth="1"/>
    <col min="2" max="2" width="26" customWidth="1"/>
    <col min="3" max="3" width="70" customWidth="1"/>
    <col min="4" max="4" width="4" customWidth="1"/>
  </cols>
  <sheetData>
    <row r="1" spans="1:4" x14ac:dyDescent="0.3">
      <c r="A1" s="1"/>
      <c r="B1" s="1"/>
      <c r="C1" s="1"/>
      <c r="D1" s="1"/>
    </row>
    <row r="2" spans="1:4" ht="30" customHeight="1" x14ac:dyDescent="0.3">
      <c r="A2" s="1"/>
      <c r="B2" s="2" t="s">
        <v>0</v>
      </c>
      <c r="C2" s="1"/>
      <c r="D2" s="1"/>
    </row>
    <row r="3" spans="1:4" x14ac:dyDescent="0.3">
      <c r="A3" s="1"/>
      <c r="B3" s="1"/>
      <c r="C3" s="3" t="s">
        <v>1</v>
      </c>
      <c r="D3" s="1"/>
    </row>
    <row r="4" spans="1:4" x14ac:dyDescent="0.3">
      <c r="A4" s="1"/>
      <c r="B4" s="1"/>
      <c r="C4" s="1"/>
      <c r="D4" s="1"/>
    </row>
    <row r="7" spans="1:4" ht="36.6" x14ac:dyDescent="0.7">
      <c r="B7" s="4" t="s">
        <v>2</v>
      </c>
    </row>
    <row r="8" spans="1:4" ht="28.8" x14ac:dyDescent="0.55000000000000004">
      <c r="B8" s="5" t="s">
        <v>3</v>
      </c>
    </row>
    <row r="9" spans="1:4" ht="17.399999999999999" x14ac:dyDescent="0.35">
      <c r="B9" s="6" t="s">
        <v>4</v>
      </c>
    </row>
    <row r="11" spans="1:4" ht="48" customHeight="1" x14ac:dyDescent="0.3">
      <c r="B11" s="77" t="s">
        <v>5</v>
      </c>
      <c r="C11" s="78"/>
    </row>
    <row r="13" spans="1:4" ht="15" customHeight="1" x14ac:dyDescent="0.3">
      <c r="B13" s="7" t="s">
        <v>6</v>
      </c>
      <c r="C13" s="8" t="s">
        <v>7</v>
      </c>
    </row>
    <row r="14" spans="1:4" ht="15" customHeight="1" x14ac:dyDescent="0.3">
      <c r="B14" s="7" t="s">
        <v>8</v>
      </c>
      <c r="C14" s="8" t="s">
        <v>9</v>
      </c>
    </row>
    <row r="15" spans="1:4" ht="15" customHeight="1" x14ac:dyDescent="0.3">
      <c r="B15" s="7" t="s">
        <v>10</v>
      </c>
      <c r="C15" s="8" t="s">
        <v>11</v>
      </c>
    </row>
    <row r="16" spans="1:4" ht="30" customHeight="1" x14ac:dyDescent="0.3">
      <c r="B16" s="7" t="s">
        <v>12</v>
      </c>
      <c r="C16" s="8" t="s">
        <v>13</v>
      </c>
    </row>
    <row r="17" spans="2:3" ht="30" customHeight="1" x14ac:dyDescent="0.3">
      <c r="B17" s="7"/>
      <c r="C17" s="8" t="s">
        <v>14</v>
      </c>
    </row>
    <row r="18" spans="2:3" ht="30" customHeight="1" x14ac:dyDescent="0.3">
      <c r="B18" s="7"/>
      <c r="C18" s="8" t="s">
        <v>15</v>
      </c>
    </row>
    <row r="19" spans="2:3" ht="30" customHeight="1" x14ac:dyDescent="0.3">
      <c r="B19" s="7" t="s">
        <v>16</v>
      </c>
      <c r="C19" s="8" t="s">
        <v>17</v>
      </c>
    </row>
    <row r="20" spans="2:3" ht="15" customHeight="1" x14ac:dyDescent="0.3">
      <c r="B20" s="7" t="s">
        <v>18</v>
      </c>
      <c r="C20" s="8" t="s">
        <v>19</v>
      </c>
    </row>
    <row r="22" spans="2:3" x14ac:dyDescent="0.3">
      <c r="B22" s="9" t="s">
        <v>20</v>
      </c>
      <c r="C22" s="10"/>
    </row>
    <row r="23" spans="2:3" x14ac:dyDescent="0.3">
      <c r="B23" s="11" t="s">
        <v>21</v>
      </c>
      <c r="C23" s="12" t="s">
        <v>22</v>
      </c>
    </row>
    <row r="24" spans="2:3" x14ac:dyDescent="0.3">
      <c r="B24" s="11" t="s">
        <v>23</v>
      </c>
      <c r="C24" s="12" t="s">
        <v>24</v>
      </c>
    </row>
    <row r="25" spans="2:3" x14ac:dyDescent="0.3">
      <c r="B25" s="11" t="s">
        <v>25</v>
      </c>
      <c r="C25" s="12" t="s">
        <v>26</v>
      </c>
    </row>
    <row r="26" spans="2:3" x14ac:dyDescent="0.3">
      <c r="B26" s="11" t="s">
        <v>27</v>
      </c>
      <c r="C26" s="12" t="s">
        <v>28</v>
      </c>
    </row>
    <row r="27" spans="2:3" x14ac:dyDescent="0.3">
      <c r="B27" s="11" t="s">
        <v>29</v>
      </c>
      <c r="C27" s="12" t="s">
        <v>30</v>
      </c>
    </row>
    <row r="28" spans="2:3" x14ac:dyDescent="0.3">
      <c r="B28" s="11" t="s">
        <v>31</v>
      </c>
      <c r="C28" s="12" t="s">
        <v>32</v>
      </c>
    </row>
    <row r="29" spans="2:3" x14ac:dyDescent="0.3">
      <c r="B29" s="11" t="s">
        <v>33</v>
      </c>
      <c r="C29" s="12" t="s">
        <v>34</v>
      </c>
    </row>
    <row r="31" spans="2:3" x14ac:dyDescent="0.3">
      <c r="B31" s="79" t="s">
        <v>35</v>
      </c>
      <c r="C31" s="78"/>
    </row>
  </sheetData>
  <mergeCells count="2">
    <mergeCell ref="B11:C11"/>
    <mergeCell ref="B31:C31"/>
  </mergeCells>
  <hyperlinks>
    <hyperlink ref="B23" location="'Executive Summary'!A1" display="Executive Summary" xr:uid="{00000000-0004-0000-0000-000000000000}"/>
    <hyperlink ref="B24" location="'Raw Data'!A1" display="Raw Data" xr:uid="{00000000-0004-0000-0000-000001000000}"/>
    <hyperlink ref="B25" location="'Ratio Calculations'!A1" display="Ratio Calculations" xr:uid="{00000000-0004-0000-0000-000002000000}"/>
    <hyperlink ref="B26" location="'Scorecard'!A1" display="Scorecard" xr:uid="{00000000-0004-0000-0000-000003000000}"/>
    <hyperlink ref="B27" location="'Trend'!A1" display="Trend" xr:uid="{00000000-0004-0000-0000-000004000000}"/>
    <hyperlink ref="B28" location="'Methodology &amp; Tools'!A1" display="Methodology &amp; Tools" xr:uid="{00000000-0004-0000-0000-000005000000}"/>
    <hyperlink ref="B29" location="'Data Lineage'!A1" display="Data Lineage" xr:uid="{00000000-0004-0000-0000-000006000000}"/>
  </hyperlinks>
  <printOptions horizontalCentered="1"/>
  <pageMargins left="0.75" right="0.75" top="1" bottom="1" header="0.5" footer="0.5"/>
  <pageSetup fitToHeight="0" orientation="portrait"/>
  <headerFooter>
    <oddFooter>&amp;CCompetitor Scorecard – Ryan Barry – &amp;D&amp;RPage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B37"/>
  <sheetViews>
    <sheetView showGridLines="0" workbookViewId="0"/>
  </sheetViews>
  <sheetFormatPr defaultRowHeight="14.4" x14ac:dyDescent="0.3"/>
  <cols>
    <col min="1" max="1" width="3" customWidth="1"/>
    <col min="2" max="2" width="150" customWidth="1"/>
  </cols>
  <sheetData>
    <row r="1" spans="1:2" ht="13.95" customHeight="1" x14ac:dyDescent="0.3">
      <c r="A1" s="1"/>
      <c r="B1" s="14" t="s">
        <v>36</v>
      </c>
    </row>
    <row r="2" spans="1:2" ht="31.95" customHeight="1" x14ac:dyDescent="0.3">
      <c r="A2" s="15"/>
      <c r="B2" s="16" t="s">
        <v>21</v>
      </c>
    </row>
    <row r="3" spans="1:2" ht="30" customHeight="1" x14ac:dyDescent="0.3">
      <c r="B3" s="17" t="s">
        <v>37</v>
      </c>
    </row>
    <row r="4" spans="1:2" ht="22.05" customHeight="1" x14ac:dyDescent="0.3">
      <c r="B4" s="80" t="s">
        <v>38</v>
      </c>
    </row>
    <row r="5" spans="1:2" ht="46.5" customHeight="1" x14ac:dyDescent="0.3">
      <c r="B5" s="19" t="s">
        <v>39</v>
      </c>
    </row>
    <row r="6" spans="1:2" ht="46.5" customHeight="1" x14ac:dyDescent="0.3">
      <c r="B6" s="8" t="str">
        <f>"• Costco is financed most conservatively and is still de-levering: debt-to-equity fell from "&amp;TEXT(_xlfn.XLOOKUP(2016,RatioYears,DE_Costco),"0.00")&amp;"x"&amp;" in FY2016 to "&amp;TEXT(_xlfn.XLOOKUP(2025,RatioYears,DE_Costco),"0.00")&amp;"x"&amp;" in FY2025. Total debt has stayed near "&amp;"$"&amp;TEXT(_xlfn.XLOOKUP(2025,Years,Costco_TotalDebt)/1000,"0.0")&amp;"B"&amp;" while equity compounded from "&amp;"$"&amp;TEXT(_xlfn.XLOOKUP(2016,Years,Costco_TotalEquity)/1000,"0.0")&amp;"B"&amp;" to "&amp;"$"&amp;TEXT(_xlfn.XLOOKUP(2025,Years,Costco_TotalEquity)/1000,"0.0")&amp;"B"&amp;" – growth and buybacks are funded from operating cash flow, not borrowing."</f>
        <v>• Costco is financed most conservatively and is still de-levering: debt-to-equity fell from 0.45x in FY2016 to 0.25x in FY2025. Total debt has stayed near $7.3B while equity compounded from $12.3B to $29.2B – growth and buybacks are funded from operating cash flow, not borrowing.</v>
      </c>
    </row>
    <row r="7" spans="1:2" ht="46.5" customHeight="1" x14ac:dyDescent="0.3">
      <c r="B7" s="8" t="str">
        <f>"• Walmart is stable by design: debt-to-equity has held in a "&amp;TEXT(MIN(DE_Walmart),"0.00")&amp;"x"&amp;"–"&amp;TEXT(MAX(DE_Walmart),"0.00")&amp;"x"&amp;" band for the whole decade. Total debt in FY2025 ("&amp;"$"&amp;TEXT(_xlfn.XLOOKUP(2025,Years,Walmart_TotalDebt)/1000,"0.0")&amp;"B"&amp;") is only "&amp;TEXT(_xlfn.XLOOKUP(2025,Years,Walmart_TotalDebt)/_xlfn.XLOOKUP(2016,Years,Walmart_TotalDebt)-1,"0.0%")&amp;" above FY2016 ("&amp;"$"&amp;TEXT(_xlfn.XLOOKUP(2016,Years,Walmart_TotalDebt)/1000,"0.0")&amp;"B"&amp;") on revenue that is "&amp;TEXT(_xlfn.XLOOKUP(2025,Years,Walmart_Revenue)/_xlfn.XLOOKUP(2016,Years,Walmart_Revenue)-1,"0.0%")&amp;" larger, so leverage has fallen relative to the size of the business."</f>
        <v>• Walmart is stable by design: debt-to-equity has held in a 0.47x–0.73x band for the whole decade. Total debt in FY2025 ($51.5B) is only 12.2% above FY2016 ($45.9B) on revenue that is 46.8% larger, so leverage has fallen relative to the size of the business.</v>
      </c>
    </row>
    <row r="8" spans="1:2" ht="61.95" customHeight="1" x14ac:dyDescent="0.3">
      <c r="B8" s="8" t="str">
        <f>"• Kroger is the outlier and the one genuine red flag. It de-levered from "&amp;TEXT(_xlfn.XLOOKUP(2016,RatioYears,DE_Kroger),"0.00")&amp;"x"&amp;" (FY2016) to "&amp;TEXT(_xlfn.XLOOKUP(2023,RatioYears,DE_Kroger),"0.00")&amp;"x"&amp;" (FY2023), then re-levered to "&amp;TEXT(_xlfn.XLOOKUP(2024,RatioYears,DE_Kroger),"0.00")&amp;"x"&amp;" in FY2024 and "&amp;TEXT(_xlfn.XLOOKUP(2025,RatioYears,DE_Kroger),"0.00")&amp;"x"&amp;" in FY2025. The FY2024 10-K shows "&amp;"$"&amp;TEXT(Kroger_ProceedsFromIssuanceOf_FY2024/1000,"0.0")&amp;"B"&amp;" of long-term debt issued for the Albertsons merger (terminated December 2024) and "&amp;"$"&amp;TEXT(Kroger_ShareRepurchases_FY2024/1000,"0.0")&amp;"B"&amp;" of share repurchases, followed by a further "&amp;"$"&amp;TEXT(Kroger_ShareRepurchases_FY2025/1000,"0.0")&amp;"B"&amp;" of repurchases in FY2025; equity fell from "&amp;"$"&amp;TEXT(_xlfn.XLOOKUP(2023,Years,Kroger_TotalEquity)/1000,"0.0")&amp;"B"&amp;" to "&amp;"$"&amp;TEXT(_xlfn.XLOOKUP(2025,Years,Kroger_TotalEquity)/1000,"0.0")&amp;"B"&amp;" in two years."</f>
        <v>• Kroger is the outlier and the one genuine red flag. It de-levered from 2.10x (FY2016) to 1.05x (FY2023), then re-levered to 2.16x in FY2024 and 2.96x in FY2025. The FY2024 10-K shows $10.5B of long-term debt issued for the Albertsons merger (terminated December 2024) and $4.2B of share repurchases, followed by a further $2.7B of repurchases in FY2025; equity fell from $11.6B to $5.9B in two years.</v>
      </c>
    </row>
    <row r="9" spans="1:2" ht="31.05" customHeight="1" x14ac:dyDescent="0.3">
      <c r="B9" s="8" t="str">
        <f>_xlfn._LONGTEXT("• Reading: Kroger's leverage is funding buybacks, not growth – revenue has been flat since FY2022 – and it is doing so on an equity base shrunk by charges. That is a deliberate capital-return choice, but it leaves the least financial flexibility in the gr","oup and would be the first balance sheet to strain if margins slip further.")</f>
        <v>• Reading: Kroger's leverage is funding buybacks, not growth – revenue has been flat since FY2022 – and it is doing so on an equity base shrunk by charges. That is a deliberate capital-return choice, but it leaves the least financial flexibility in the group and would be the first balance sheet to strain if margins slip further.</v>
      </c>
    </row>
    <row r="10" spans="1:2" ht="31.05" customHeight="1" x14ac:dyDescent="0.3">
      <c r="B10" s="8" t="str">
        <f>"• Lease-adjusted view (ASC 842): including operating lease liabilities lifts every ratio but changes no ranking – FY2025 debt-to-equity incl. leases is "&amp;TEXT(_xlfn.XLOOKUP(2025,RatioYears,DEL_Costco),"0.00")&amp;"x"&amp;" Costco, "&amp;TEXT(_xlfn.XLOOKUP(2025,RatioYears,DEL_Walmart),"0.00")&amp;"x"&amp;" Walmart, "&amp;TEXT(_xlfn.XLOOKUP(2025,RatioYears,DEL_Kroger),"0.00")&amp;"x"&amp;" Kroger."</f>
        <v>• Lease-adjusted view (ASC 842): including operating lease liabilities lifts every ratio but changes no ranking – FY2025 debt-to-equity incl. leases is 0.34x Costco, 0.63x Walmart, 4.16x Kroger.</v>
      </c>
    </row>
    <row r="12" spans="1:2" ht="22.05" customHeight="1" x14ac:dyDescent="0.3">
      <c r="B12" s="80" t="s">
        <v>40</v>
      </c>
    </row>
    <row r="13" spans="1:2" ht="31.05" customHeight="1" x14ac:dyDescent="0.3">
      <c r="B13" s="19" t="s">
        <v>41</v>
      </c>
    </row>
    <row r="14" spans="1:2" ht="46.5" customHeight="1" x14ac:dyDescent="0.3">
      <c r="B14" s="8" t="str">
        <f>"• Costco absorbed the shock best. Revenue grew "&amp;TEXT(_xlfn.XLOOKUP(2020,RatioYears,GR_Costco),"0.0%")&amp;", "&amp;TEXT(_xlfn.XLOOKUP(2021,RatioYears,GR_Costco),"0.0%")&amp;" and "&amp;TEXT(_xlfn.XLOOKUP(2022,RatioYears,GR_Costco),"0.0%")&amp;" in FY2020–FY2022; net margin rose from "&amp;TEXT(_xlfn.XLOOKUP(2019,RatioYears,NM_Costco),"0.0%")&amp;" (FY2019) to "&amp;TEXT(_xlfn.XLOOKUP(2023,RatioYears,NM_Costco),"0.0%")&amp;" (FY2023); the current ratio peaked at "&amp;TEXT(_xlfn.XLOOKUP(2020,RatioYears,CR_Costco),"0.00")&amp;"x"&amp;" in FY2020 and never fell below "&amp;TEXT(MIN(CR_Costco),"0.00")&amp;"x"&amp;". Gross margin dipped to "&amp;TEXT(_xlfn.XLOOKUP(2022,RatioYears,GM_Costco),"0.0%")&amp;" in FY2022 – inflation absorbed on members' behalf – and has since recovered to "&amp;TEXT(_xlfn.XLOOKUP(2025,RatioYears,GM_Costco),"0.0%")&amp;"."</f>
        <v>• Costco absorbed the shock best. Revenue grew 9.3%, 17.7% and 16.0% in FY2020–FY2022; net margin rose from 2.4% (FY2019) to 2.6% (FY2023); the current ratio peaked at 1.13x in FY2020 and never fell below 0.97x. Gross margin dipped to 10.5% in FY2022 – inflation absorbed on members' behalf – and has since recovered to 11.1%.</v>
      </c>
    </row>
    <row r="15" spans="1:2" ht="46.5" customHeight="1" x14ac:dyDescent="0.3">
      <c r="B15" s="8" t="str">
        <f>"• Walmart took the biggest single-year hit, in FY2022 (year ended January 2023): gross margin fell to "&amp;TEXT(_xlfn.XLOOKUP(2022,RatioYears,GM_Walmart),"0.0%")&amp;" and operating margin to "&amp;TEXT(_xlfn.XLOOKUP(2022,RatioYears,OM_Walmart),"0.0%")&amp;", the lowest of the decade, as inventory built and was marked down; the current ratio fell from "&amp;TEXT(_xlfn.XLOOKUP(2020,RatioYears,CR_Walmart),"0.00")&amp;"x"&amp;" (FY2020) to "&amp;TEXT(_xlfn.XLOOKUP(2022,RatioYears,CR_Walmart),"0.00")&amp;"x"&amp;". Recovery was quick – operating margin was back to "&amp;TEXT(_xlfn.XLOOKUP(2024,RatioYears,OM_Walmart),"0.0%")&amp;" by FY2024 and net margin to "&amp;TEXT(_xlfn.XLOOKUP(2025,RatioYears,NM_Walmart),"0.0%")&amp;" in FY2025."</f>
        <v>• Walmart took the biggest single-year hit, in FY2022 (year ended January 2023): gross margin fell to 23.5% and operating margin to 3.4%, the lowest of the decade, as inventory built and was marked down; the current ratio fell from 0.97x (FY2020) to 0.82x. Recovery was quick – operating margin was back to 4.4% by FY2024 and net margin to 3.1% in FY2025.</v>
      </c>
    </row>
    <row r="16" spans="1:2" ht="61.95" customHeight="1" x14ac:dyDescent="0.3">
      <c r="B16" s="8" t="str">
        <f>"• Kroger's margins moved most but for a mix reason: gross margin jumped to "&amp;TEXT(_xlfn.XLOOKUP(2020,RatioYears,GM_Kroger),"0.0%")&amp;" in FY2020 when low-margin fuel sales collapsed, then fell to "&amp;TEXT(_xlfn.XLOOKUP(2022,RatioYears,GM_Kroger),"0.0%")&amp;" in FY2022 as fuel prices spiked. Through FY2020–FY2023 net margin stayed between "&amp;TEXT(MIN(INDEX(NM_Kroger,1,5):INDEX(NM_Kroger,1,8)),"0.0%")&amp;" and "&amp;TEXT(MAX(INDEX(NM_Kroger,1,5):INDEX(NM_Kroger,1,8)),"0.0%")&amp;", and the current ratio ("&amp;TEXT(MIN(INDEX(CR_Kroger,1,5):INDEX(CR_Kroger,1,8)),"0.00")&amp;"x"&amp;"–"&amp;TEXT(MAX(INDEX(CR_Kroger,1,5):INDEX(CR_Kroger,1,8)),"0.00")&amp;"x"&amp;") is structurally the lowest of the three – a feature of its working-capital model, not a shock effect."</f>
        <v>• Kroger's margins moved most but for a mix reason: gross margin jumped to 23.3% in FY2020 when low-margin fuel sales collapsed, then fell to 21.4% in FY2022 as fuel prices spiked. Through FY2020–FY2023 net margin stayed between 1.2% and 2.0%, and the current ratio (0.74x–0.81x) is structurally the lowest of the three – a feature of its working-capital model, not a shock effect.</v>
      </c>
    </row>
    <row r="17" spans="2:2" ht="46.5" customHeight="1" x14ac:dyDescent="0.3">
      <c r="B17" s="8" t="str">
        <f>"• Sam's Club (segment) grew net sales "&amp;TEXT(_xlfn.XLOOKUP(2020,RatioYears,GR_SamsClub),"0.0%")&amp;", "&amp;TEXT(_xlfn.XLOOKUP(2021,RatioYears,GR_SamsClub),"0.0%")&amp;" and "&amp;TEXT(_xlfn.XLOOKUP(2022,RatioYears,GR_SamsClub),"0.0%")&amp;" over FY2020–FY2022 with operating margin between "&amp;TEXT(MIN(INDEX(OM_SamsClub,1,5):INDEX(OM_SamsClub,1,8)),"0.0%")&amp;" and "&amp;TEXT(MAX(INDEX(OM_SamsClub,1,5):INDEX(OM_SamsClub,1,8)),"0.0%")&amp;" through FY2020–FY2023 – the club format was the clear beneficiary of pandemic-era bulk buying and inflation trade-down."</f>
        <v>• Sam's Club (segment) grew net sales 8.7%, 15.1% and 14.7% over FY2020–FY2022 with operating margin between 2.3% and 3.1% through FY2020–FY2023 – the club format was the clear beneficiary of pandemic-era bulk buying and inflation trade-down.</v>
      </c>
    </row>
    <row r="19" spans="2:2" ht="22.05" customHeight="1" x14ac:dyDescent="0.3">
      <c r="B19" s="80" t="s">
        <v>42</v>
      </c>
    </row>
    <row r="20" spans="2:2" ht="31.05" customHeight="1" x14ac:dyDescent="0.3">
      <c r="B20" s="19" t="s">
        <v>43</v>
      </c>
    </row>
    <row r="21" spans="2:2" ht="46.5" customHeight="1" x14ac:dyDescent="0.3">
      <c r="B21" s="8" t="str">
        <f>"• Walmart shows the most persistent pressure among the full filers: gross margin "&amp;TEXT(_xlfn.XLOOKUP(2016,RatioYears,GM_Walmart),"0.0%")&amp;" (FY2016) → "&amp;TEXT(_xlfn.XLOOKUP(2022,RatioYears,GM_Walmart),"0.0%")&amp;" (FY2022 low) → "&amp;TEXT(_xlfn.XLOOKUP(2025,RatioYears,GM_Walmart),"0.0%")&amp;" (FY2025), and operating margin "&amp;TEXT(_xlfn.XLOOKUP(2016,RatioYears,OM_Walmart),"0.0%")&amp;" → "&amp;TEXT(_xlfn.XLOOKUP(2025,RatioYears,OM_Walmart),"0.0%")&amp;". The driver is pricing and mix, not cost: the gross-margin give-up tracks Walmart's stated price investment and the shift toward lower-margin e-commerce and grocery, while the operating-margin gap to gross margin has not widened – SG&amp;A is under control."</f>
        <v>• Walmart shows the most persistent pressure among the full filers: gross margin 24.9% (FY2016) → 23.5% (FY2022 low) → 24.2% (FY2025), and operating margin 4.7% → 4.2%. The driver is pricing and mix, not cost: the gross-margin give-up tracks Walmart's stated price investment and the shift toward lower-margin e-commerce and grocery, while the operating-margin gap to gross margin has not widened – SG&amp;A is under control.</v>
      </c>
    </row>
    <row r="22" spans="2:2" ht="61.95" customHeight="1" x14ac:dyDescent="0.3">
      <c r="B22" s="8" t="str">
        <f>"• Kroger's decline is the largest in operating terms – "&amp;TEXT(_xlfn.XLOOKUP(2016,RatioYears,OM_Kroger),"0.0%")&amp;" in FY2016 to "&amp;TEXT(_xlfn.XLOOKUP(2025,RatioYears,OM_Kroger),"0.0%")&amp;" in FY2025 – but the FY2025 figure includes "&amp;"$"&amp;TEXT(Kroger_RestructuringAndAssetImpairment_FY2025/1000,"0.0")&amp;"B"&amp;" of restructuring and asset-impairment charges; excluding them, operating margin would be about "&amp;TEXT((_xlfn.XLOOKUP(2025,Years,Kroger_OperatingIncome)+Kroger_RestructuringAndAssetImpairment_FY2025)/_xlfn.XLOOKUP(2025,Years,Kroger_Revenue),"0.0%")&amp;". Its gross margin is essentially unchanged ("&amp;TEXT(_xlfn.XLOOKUP(2016,RatioYears,GM_Kroger),"0.0%")&amp;" → "&amp;TEXT(_xlfn.XLOOKUP(2025,RatioYears,GM_Kroger),"0.0%")&amp;"), so the pressure is below gross profit: cost (labour, D&amp;A) and one-off charges rather than pricing."</f>
        <v>• Kroger's decline is the largest in operating terms – 3.0% in FY2016 to 1.3% in FY2025 – but the FY2025 figure includes $2.7B of restructuring and asset-impairment charges; excluding them, operating margin would be about 3.1%. Its gross margin is essentially unchanged (22.4% → 23.3%), so the pressure is below gross profit: cost (labour, D&amp;A) and one-off charges rather than pricing.</v>
      </c>
    </row>
    <row r="23" spans="2:2" ht="46.5" customHeight="1" x14ac:dyDescent="0.3">
      <c r="B23" s="8" t="str">
        <f>"• Costco shows no pressure: gross margin is flat by design ("&amp;TEXT(_xlfn.XLOOKUP(2016,RatioYears,GM_Costco),"0.0%")&amp;" → "&amp;TEXT(_xlfn.XLOOKUP(2025,RatioYears,GM_Costco),"0.0%")&amp;") while net margin expanded from "&amp;TEXT(_xlfn.XLOOKUP(2016,RatioYears,NM_Costco),"0.0%")&amp;" to "&amp;TEXT(_xlfn.XLOOKUP(2025,RatioYears,NM_Costco),"0.0%")&amp;" – membership fees ("&amp;"$"&amp;TEXT(Costco_MembershipFeeRevenueIncluded_FY2025/1000,"0.0")&amp;"B"&amp;" in FY2025, equal to "&amp;TEXT(Costco_MembershipFeeRevenueIncluded_FY2025/_xlfn.XLOOKUP(2025,Years,Costco_Revenue),"0.0%")&amp;" of net sales, excluded from net sales here and carrying no cost of sales) and operating leverage on "&amp;TEXT(_xlfn.XLOOKUP(2025,Years,Costco_Revenue)/_xlfn.XLOOKUP(2016,Years,Costco_Revenue)-1,"0.0%")&amp;" cumulative revenue growth."</f>
        <v>• Costco shows no pressure: gross margin is flat by design (11.3% → 11.1%) while net margin expanded from 2.0% to 3.0% – membership fees ($5.3B in FY2025, equal to 2.0% of net sales, excluded from net sales here and carrying no cost of sales) and operating leverage on 132.5% cumulative revenue growth.</v>
      </c>
    </row>
    <row r="24" spans="2:2" ht="46.5" customHeight="1" x14ac:dyDescent="0.3">
      <c r="B24" s="8" t="str">
        <f>"• Sam's Club is improving: segment gross margin rose from "&amp;TEXT(_xlfn.XLOOKUP(2022,RatioYears,GM_SamsClub),"0.0%")&amp;" (FY2022) to "&amp;TEXT(_xlfn.XLOOKUP(2025,RatioYears,GM_SamsClub),"0.0%")&amp;" (FY2025) – a mix shift toward members-only pricing and away from fuel. Whole Foods was already under pricing pressure before the Amazon deal: gross margin "&amp;TEXT(_xlfn.XLOOKUP(2016,RatioYears,GM_WholeFoods),"0.0%")&amp;" → "&amp;TEXT(_xlfn.XLOOKUP(2017,RatioYears,GM_WholeFoods),"0.0%")&amp;" and operating margin "&amp;TEXT(_xlfn.XLOOKUP(2016,RatioYears,OM_WholeFoods),"0.0%")&amp;" → "&amp;TEXT(_xlfn.XLOOKUP(2017,RatioYears,OM_WholeFoods),"0.0%")&amp;" in its last two standalone years."</f>
        <v>• Sam's Club is improving: segment gross margin rose from 10.4% (FY2022) to 11.3% (FY2025) – a mix shift toward members-only pricing and away from fuel. Whole Foods was already under pricing pressure before the Amazon deal: gross margin 34.4% → 33.7% and operating margin 5.5% → 2.9% in its last two standalone years.</v>
      </c>
    </row>
    <row r="26" spans="2:2" ht="22.05" customHeight="1" x14ac:dyDescent="0.3">
      <c r="B26" s="80" t="s">
        <v>44</v>
      </c>
    </row>
    <row r="27" spans="2:2" ht="31.05" customHeight="1" x14ac:dyDescent="0.3">
      <c r="B27" s="8" t="str">
        <f>"• Costco's step-change: revenue growth of "&amp;TEXT(_xlfn.XLOOKUP(2021,RatioYears,GR_Costco),"0.0%")&amp;" and "&amp;TEXT(_xlfn.XLOOKUP(2022,RatioYears,GR_Costco),"0.0%")&amp;" in FY2021–FY2022 lifted it from "&amp;"$"&amp;TEXT(_xlfn.XLOOKUP(2016,Years,Costco_Revenue)/1000,"0.0")&amp;"B"&amp;" to "&amp;"$"&amp;TEXT(_xlfn.XLOOKUP(2025,Years,Costco_Revenue)/1000,"0.0")&amp;"B"&amp;" – it is now "&amp;TEXT(_xlfn.XLOOKUP(2025,Years,Costco_Revenue)/_xlfn.XLOOKUP(2025,Years,Kroger_Revenue),"0.0")&amp;"x Kroger's size, versus "&amp;TEXT(_xlfn.XLOOKUP(2016,Years,Costco_Revenue)/_xlfn.XLOOKUP(2016,Years,Kroger_Revenue),"0.0")&amp;"x in FY2016."</f>
        <v>• Costco's step-change: revenue growth of 17.7% and 16.0% in FY2021–FY2022 lifted it from $116.1B to $269.9B – it is now 1.8x Kroger's size, versus 1.0x in FY2016.</v>
      </c>
    </row>
    <row r="28" spans="2:2" ht="31.05" customHeight="1" x14ac:dyDescent="0.3">
      <c r="B28" s="8" t="str">
        <f>"• Kroger's reversal: five years of de-leveraging (FY2018–FY2023) undone in two. Debt-to-equity "&amp;TEXT(_xlfn.XLOOKUP(2023,RatioYears,DE_Kroger),"0.00")&amp;"x"&amp;" → "&amp;TEXT(_xlfn.XLOOKUP(2025,RatioYears,DE_Kroger),"0.00")&amp;"x"&amp;"; revenue "&amp;TEXT(_xlfn.XLOOKUP(2024,RatioYears,GR_Kroger),"0.0%")&amp;" and "&amp;TEXT(_xlfn.XLOOKUP(2025,RatioYears,GR_Kroger),"0.0%")&amp;" in FY2024–FY2025."</f>
        <v>• Kroger's reversal: five years of de-leveraging (FY2018–FY2023) undone in two. Debt-to-equity 1.05x → 2.96x; revenue -1.9% and 0.4% in FY2024–FY2025.</v>
      </c>
    </row>
    <row r="29" spans="2:2" ht="31.05" customHeight="1" x14ac:dyDescent="0.3">
      <c r="B29" s="8" t="str">
        <f>"• ASC 842 (FY2019; Costco FY2020) put operating leases on every balance sheet. Total debt in this model excludes them so FY2016–FY2018 remain comparable; the supplementary lease-inclusive ratio shows the effect."</f>
        <v>• ASC 842 (FY2019; Costco FY2020) put operating leases on every balance sheet. Total debt in this model excludes them so FY2016–FY2018 remain comparable; the supplementary lease-inclusive ratio shows the effect.</v>
      </c>
    </row>
    <row r="31" spans="2:2" ht="22.05" customHeight="1" x14ac:dyDescent="0.3">
      <c r="B31" s="80" t="s">
        <v>45</v>
      </c>
    </row>
    <row r="32" spans="2:2" ht="31.05" customHeight="1" x14ac:dyDescent="0.3">
      <c r="B32" s="8" t="s">
        <v>46</v>
      </c>
    </row>
    <row r="33" spans="2:2" ht="31.05" customHeight="1" x14ac:dyDescent="0.3">
      <c r="B33" s="8" t="s">
        <v>47</v>
      </c>
    </row>
    <row r="34" spans="2:2" ht="77.55" customHeight="1" x14ac:dyDescent="0.3">
      <c r="B34" s="8" t="str">
        <f>"• Inventory method: Walmart (U.S.), Costco (U.S.) and Kroger (~91% of inventory) use LIFO; Whole Foods used LIFO; Costco Canada / Walmart International use FIFO. Kroger discloses its LIFO reserve – "&amp;"$"&amp;TEXT(Kroger_LifoReserve_FY2025/1000,"0.0")&amp;"B"&amp;" at FY2025 versus "&amp;"$"&amp;TEXT(Kroger_LifoReserve_FY2016/1000,"0.0")&amp;"B"&amp;_xlfn._LONGTEXT(" at FY2016 – so its reported inventory and cost of sales understate FIFO-basis values. Walmart disclosed that LIFO approximated FIFO through January 2022 and gives only sensitivity language since; Costco discloses no reserve but took a LIFO charge worth 1","9 bp of gross margin in FY2022. Gross margins are therefore compared as reported; a full FIFO restatement is outside this workbook's scope and is discussed on the Methodology tab.")</f>
        <v>• Inventory method: Walmart (U.S.), Costco (U.S.) and Kroger (~91% of inventory) use LIFO; Whole Foods used LIFO; Costco Canada / Walmart International use FIFO. Kroger discloses its LIFO reserve – $2.6B at FY2025 versus $1.3B at FY2016 – so its reported inventory and cost of sales understate FIFO-basis values. Walmart disclosed that LIFO approximated FIFO through January 2022 and gives only sensitivity language since; Costco discloses no reserve but took a LIFO charge worth 19 bp of gross margin in FY2022. Gross margins are therefore compared as reported; a full FIFO restatement is outside this workbook's scope and is discussed on the Methodology tab.</v>
      </c>
    </row>
    <row r="35" spans="2:2" ht="31.05" customHeight="1" x14ac:dyDescent="0.3">
      <c r="B35" s="8" t="str">
        <f>"• Total equity includes noncontrolling interests (Walmart: "&amp;"$"&amp;TEXT(Walmart_NoncontrollingInterestInTotal_FY2025/1000,"0.0")&amp;"B"&amp;" at FY2025) while net income is the amount attributable to the parent – the standard presentation, but it slightly lowers Walmart's debt-to-equity relative to a parent-only basis."</f>
        <v>• Total equity includes noncontrolling interests (Walmart: $6.3B at FY2025) while net income is the amount attributable to the parent – the standard presentation, but it slightly lowers Walmart's debt-to-equity relative to a parent-only basis.</v>
      </c>
    </row>
    <row r="36" spans="2:2" ht="46.5" customHeight="1" x14ac:dyDescent="0.3">
      <c r="B36" s="8" t="s">
        <v>48</v>
      </c>
    </row>
    <row r="37" spans="2:2" ht="31.05" customHeight="1" x14ac:dyDescent="0.3">
      <c r="B37" s="8" t="s">
        <v>49</v>
      </c>
    </row>
  </sheetData>
  <mergeCells count="5">
    <mergeCell ref="B4"/>
    <mergeCell ref="B26"/>
    <mergeCell ref="B12"/>
    <mergeCell ref="B19"/>
    <mergeCell ref="B31"/>
  </mergeCells>
  <printOptions horizontalCentered="1"/>
  <pageMargins left="0.75" right="0.75" top="1" bottom="1" header="0.5" footer="0.5"/>
  <pageSetup fitToHeight="0" orientation="landscape"/>
  <headerFooter>
    <oddFooter>&amp;CCompetitor Scorecard – Ryan Barry – &amp;D&amp;RPage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N112"/>
  <sheetViews>
    <sheetView workbookViewId="0">
      <pane xSplit="2" ySplit="4" topLeftCell="C5" activePane="bottomRight" state="frozen"/>
      <selection pane="topRight"/>
      <selection pane="bottomLeft"/>
      <selection pane="bottomRight"/>
    </sheetView>
  </sheetViews>
  <sheetFormatPr defaultRowHeight="14.4" x14ac:dyDescent="0.3"/>
  <cols>
    <col min="1" max="1" width="58" customWidth="1"/>
    <col min="2" max="2" width="40" customWidth="1"/>
    <col min="3" max="13" width="11.44140625" customWidth="1"/>
    <col min="14" max="14" width="70" customWidth="1"/>
  </cols>
  <sheetData>
    <row r="1" spans="1:14" ht="13.95" customHeight="1" x14ac:dyDescent="0.3">
      <c r="A1" s="20" t="s">
        <v>50</v>
      </c>
      <c r="B1" s="1"/>
      <c r="C1" s="1"/>
      <c r="D1" s="1"/>
      <c r="E1" s="1"/>
      <c r="F1" s="1"/>
      <c r="G1" s="1"/>
      <c r="H1" s="1"/>
      <c r="I1" s="1"/>
      <c r="J1" s="1"/>
      <c r="K1" s="1"/>
      <c r="L1" s="1"/>
      <c r="M1" s="1"/>
      <c r="N1" s="14" t="s">
        <v>36</v>
      </c>
    </row>
    <row r="2" spans="1:14" ht="31.95" customHeight="1" x14ac:dyDescent="0.3">
      <c r="A2" s="16" t="s">
        <v>23</v>
      </c>
      <c r="B2" s="15"/>
      <c r="C2" s="15"/>
      <c r="D2" s="15"/>
      <c r="E2" s="15"/>
      <c r="F2" s="15"/>
      <c r="G2" s="15"/>
      <c r="H2" s="15"/>
      <c r="I2" s="15"/>
      <c r="J2" s="15"/>
      <c r="K2" s="15"/>
      <c r="L2" s="15"/>
      <c r="M2" s="15"/>
      <c r="N2" s="15"/>
    </row>
    <row r="3" spans="1:14" ht="18" customHeight="1" x14ac:dyDescent="0.3">
      <c r="A3" s="21" t="s">
        <v>51</v>
      </c>
    </row>
    <row r="4" spans="1:14" ht="22.05" customHeight="1" x14ac:dyDescent="0.3">
      <c r="A4" s="18" t="s">
        <v>52</v>
      </c>
      <c r="B4" s="22" t="s">
        <v>53</v>
      </c>
      <c r="C4" s="23">
        <v>2015</v>
      </c>
      <c r="D4" s="23">
        <v>2016</v>
      </c>
      <c r="E4" s="23">
        <v>2017</v>
      </c>
      <c r="F4" s="23">
        <v>2018</v>
      </c>
      <c r="G4" s="23">
        <v>2019</v>
      </c>
      <c r="H4" s="23">
        <v>2020</v>
      </c>
      <c r="I4" s="23">
        <v>2021</v>
      </c>
      <c r="J4" s="23">
        <v>2022</v>
      </c>
      <c r="K4" s="23">
        <v>2023</v>
      </c>
      <c r="L4" s="23">
        <v>2024</v>
      </c>
      <c r="M4" s="23">
        <v>2025</v>
      </c>
      <c r="N4" s="18" t="s">
        <v>54</v>
      </c>
    </row>
    <row r="6" spans="1:14" ht="19.95" customHeight="1" x14ac:dyDescent="0.3">
      <c r="A6" s="80" t="s">
        <v>55</v>
      </c>
      <c r="B6" s="81"/>
      <c r="C6" s="81"/>
      <c r="D6" s="81"/>
      <c r="E6" s="81"/>
      <c r="F6" s="81"/>
      <c r="G6" s="81"/>
      <c r="H6" s="81"/>
      <c r="I6" s="81"/>
      <c r="J6" s="81"/>
      <c r="K6" s="81"/>
      <c r="L6" s="81"/>
      <c r="M6" s="81"/>
      <c r="N6" s="81"/>
    </row>
    <row r="7" spans="1:14" x14ac:dyDescent="0.3">
      <c r="A7" s="24" t="s">
        <v>56</v>
      </c>
      <c r="B7" s="13" t="s">
        <v>57</v>
      </c>
      <c r="C7" s="25">
        <v>42400</v>
      </c>
      <c r="D7" s="25">
        <v>42766</v>
      </c>
      <c r="E7" s="25">
        <v>43131</v>
      </c>
      <c r="F7" s="25">
        <v>43496</v>
      </c>
      <c r="G7" s="25">
        <v>43861</v>
      </c>
      <c r="H7" s="25">
        <v>44227</v>
      </c>
      <c r="I7" s="25">
        <v>44592</v>
      </c>
      <c r="J7" s="25">
        <v>44957</v>
      </c>
      <c r="K7" s="25">
        <v>45322</v>
      </c>
      <c r="L7" s="25">
        <v>45688</v>
      </c>
      <c r="M7" s="25">
        <v>46053</v>
      </c>
    </row>
    <row r="8" spans="1:14" x14ac:dyDescent="0.3">
      <c r="A8" s="26" t="s">
        <v>58</v>
      </c>
      <c r="B8" s="13" t="s">
        <v>59</v>
      </c>
      <c r="C8" s="27">
        <v>478614</v>
      </c>
      <c r="D8" s="27">
        <v>481317</v>
      </c>
      <c r="E8" s="27">
        <v>495761</v>
      </c>
      <c r="F8" s="27">
        <v>510329</v>
      </c>
      <c r="G8" s="27">
        <v>519926</v>
      </c>
      <c r="H8" s="27">
        <v>555233</v>
      </c>
      <c r="I8" s="27">
        <v>567762</v>
      </c>
      <c r="J8" s="27">
        <v>605881</v>
      </c>
      <c r="K8" s="27">
        <v>642637</v>
      </c>
      <c r="L8" s="27">
        <v>674538</v>
      </c>
      <c r="M8" s="27">
        <v>706413</v>
      </c>
      <c r="N8" s="13" t="s">
        <v>60</v>
      </c>
    </row>
    <row r="9" spans="1:14" x14ac:dyDescent="0.3">
      <c r="A9" s="26" t="s">
        <v>61</v>
      </c>
      <c r="B9" s="13" t="s">
        <v>62</v>
      </c>
      <c r="C9" s="27">
        <v>360984</v>
      </c>
      <c r="D9" s="27">
        <v>361256</v>
      </c>
      <c r="E9" s="27">
        <v>373396</v>
      </c>
      <c r="F9" s="27">
        <v>385301</v>
      </c>
      <c r="G9" s="27">
        <v>394605</v>
      </c>
      <c r="H9" s="27">
        <v>420315</v>
      </c>
      <c r="I9" s="27">
        <v>429000</v>
      </c>
      <c r="J9" s="27">
        <v>463721</v>
      </c>
      <c r="K9" s="27">
        <v>490142</v>
      </c>
      <c r="L9" s="27">
        <v>511753</v>
      </c>
      <c r="M9" s="27">
        <v>535395</v>
      </c>
      <c r="N9" s="13" t="s">
        <v>60</v>
      </c>
    </row>
    <row r="10" spans="1:14" x14ac:dyDescent="0.3">
      <c r="A10" s="26" t="s">
        <v>63</v>
      </c>
      <c r="B10" s="13" t="s">
        <v>64</v>
      </c>
      <c r="C10" s="27">
        <v>14694</v>
      </c>
      <c r="D10" s="27">
        <v>13643</v>
      </c>
      <c r="E10" s="27">
        <v>9862</v>
      </c>
      <c r="F10" s="27">
        <v>6670</v>
      </c>
      <c r="G10" s="27">
        <v>14881</v>
      </c>
      <c r="H10" s="27">
        <v>13510</v>
      </c>
      <c r="I10" s="27">
        <v>13673</v>
      </c>
      <c r="J10" s="27">
        <v>11680</v>
      </c>
      <c r="K10" s="27">
        <v>15511</v>
      </c>
      <c r="L10" s="27">
        <v>19436</v>
      </c>
      <c r="M10" s="27">
        <v>21893</v>
      </c>
      <c r="N10" s="13" t="s">
        <v>65</v>
      </c>
    </row>
    <row r="11" spans="1:14" x14ac:dyDescent="0.3">
      <c r="A11" s="26" t="s">
        <v>66</v>
      </c>
      <c r="B11" s="13" t="s">
        <v>67</v>
      </c>
      <c r="C11" s="27">
        <v>60239</v>
      </c>
      <c r="D11" s="27">
        <v>57689</v>
      </c>
      <c r="E11" s="27">
        <v>59664</v>
      </c>
      <c r="F11" s="27">
        <v>61897</v>
      </c>
      <c r="G11" s="27">
        <v>61806</v>
      </c>
      <c r="H11" s="27">
        <v>90067</v>
      </c>
      <c r="I11" s="27">
        <v>81070</v>
      </c>
      <c r="J11" s="27">
        <v>75655</v>
      </c>
      <c r="K11" s="27">
        <v>76877</v>
      </c>
      <c r="L11" s="27">
        <v>79458</v>
      </c>
      <c r="M11" s="27">
        <v>84874</v>
      </c>
      <c r="N11" s="13" t="s">
        <v>60</v>
      </c>
    </row>
    <row r="12" spans="1:14" x14ac:dyDescent="0.3">
      <c r="A12" s="26" t="s">
        <v>68</v>
      </c>
      <c r="B12" s="13" t="s">
        <v>69</v>
      </c>
      <c r="C12" s="27">
        <v>64619</v>
      </c>
      <c r="D12" s="27">
        <v>66928</v>
      </c>
      <c r="E12" s="27">
        <v>78521</v>
      </c>
      <c r="F12" s="27">
        <v>77477</v>
      </c>
      <c r="G12" s="27">
        <v>77790</v>
      </c>
      <c r="H12" s="27">
        <v>92645</v>
      </c>
      <c r="I12" s="27">
        <v>87379</v>
      </c>
      <c r="J12" s="27">
        <v>92198</v>
      </c>
      <c r="K12" s="27">
        <v>92415</v>
      </c>
      <c r="L12" s="27">
        <v>96584</v>
      </c>
      <c r="M12" s="27">
        <v>107469</v>
      </c>
      <c r="N12" s="13" t="s">
        <v>60</v>
      </c>
    </row>
    <row r="13" spans="1:14" x14ac:dyDescent="0.3">
      <c r="A13" s="26" t="s">
        <v>70</v>
      </c>
      <c r="B13" s="13" t="s">
        <v>71</v>
      </c>
      <c r="C13" s="27">
        <v>83611</v>
      </c>
      <c r="D13" s="27">
        <v>80535</v>
      </c>
      <c r="E13" s="27">
        <v>80822</v>
      </c>
      <c r="F13" s="27">
        <v>79634</v>
      </c>
      <c r="G13" s="27">
        <v>81552</v>
      </c>
      <c r="H13" s="27">
        <v>87531</v>
      </c>
      <c r="I13" s="27">
        <v>91891</v>
      </c>
      <c r="J13" s="27">
        <v>83754</v>
      </c>
      <c r="K13" s="27">
        <v>90349</v>
      </c>
      <c r="L13" s="27">
        <v>97421</v>
      </c>
      <c r="M13" s="27">
        <v>105887</v>
      </c>
      <c r="N13" s="13" t="s">
        <v>72</v>
      </c>
    </row>
    <row r="14" spans="1:14" x14ac:dyDescent="0.3">
      <c r="A14" s="28" t="s">
        <v>73</v>
      </c>
      <c r="B14" s="29" t="s">
        <v>74</v>
      </c>
      <c r="C14" s="30">
        <f t="shared" ref="C14:M14" si="0">SUM(C15,C16,C17)+IF(COUNT(C18,C19)&gt;0,SUM(C18,C19),IF(ISNUMBER(C20),C20,0))</f>
        <v>50034</v>
      </c>
      <c r="D14" s="30">
        <f t="shared" si="0"/>
        <v>45938</v>
      </c>
      <c r="E14" s="30">
        <f t="shared" si="0"/>
        <v>46487</v>
      </c>
      <c r="F14" s="30">
        <f t="shared" si="0"/>
        <v>58033</v>
      </c>
      <c r="G14" s="30">
        <f t="shared" si="0"/>
        <v>54469</v>
      </c>
      <c r="H14" s="30">
        <f t="shared" si="0"/>
        <v>48871</v>
      </c>
      <c r="I14" s="30">
        <f t="shared" si="0"/>
        <v>42831</v>
      </c>
      <c r="J14" s="30">
        <f t="shared" si="0"/>
        <v>44622</v>
      </c>
      <c r="K14" s="30">
        <f t="shared" si="0"/>
        <v>46891</v>
      </c>
      <c r="L14" s="30">
        <f t="shared" si="0"/>
        <v>45790</v>
      </c>
      <c r="M14" s="30">
        <f t="shared" si="0"/>
        <v>51523</v>
      </c>
      <c r="N14" s="13" t="s">
        <v>75</v>
      </c>
    </row>
    <row r="15" spans="1:14" x14ac:dyDescent="0.3">
      <c r="A15" s="31" t="s">
        <v>76</v>
      </c>
      <c r="B15" s="32" t="s">
        <v>77</v>
      </c>
      <c r="C15" s="33">
        <v>2708</v>
      </c>
      <c r="D15" s="33">
        <v>1099</v>
      </c>
      <c r="E15" s="33">
        <v>5257</v>
      </c>
      <c r="F15" s="33">
        <v>5225</v>
      </c>
      <c r="G15" s="33">
        <v>575</v>
      </c>
      <c r="H15" s="33">
        <v>224</v>
      </c>
      <c r="I15" s="33">
        <v>410</v>
      </c>
      <c r="J15" s="33">
        <v>372</v>
      </c>
      <c r="K15" s="33">
        <v>878</v>
      </c>
      <c r="L15" s="33">
        <v>3068</v>
      </c>
      <c r="M15" s="33">
        <v>6596</v>
      </c>
      <c r="N15" s="13" t="s">
        <v>78</v>
      </c>
    </row>
    <row r="16" spans="1:14" x14ac:dyDescent="0.3">
      <c r="A16" s="31" t="s">
        <v>79</v>
      </c>
      <c r="B16" s="32" t="s">
        <v>80</v>
      </c>
      <c r="C16" s="33">
        <v>2745</v>
      </c>
      <c r="D16" s="33">
        <v>2256</v>
      </c>
      <c r="E16" s="33">
        <v>3738</v>
      </c>
      <c r="F16" s="33">
        <v>1876</v>
      </c>
      <c r="G16" s="33">
        <v>5362</v>
      </c>
      <c r="H16" s="33">
        <v>3115</v>
      </c>
      <c r="I16" s="33">
        <v>2803</v>
      </c>
      <c r="J16" s="33">
        <v>4191</v>
      </c>
      <c r="K16" s="33">
        <v>3447</v>
      </c>
      <c r="L16" s="33">
        <v>2598</v>
      </c>
      <c r="M16" s="33">
        <v>3542</v>
      </c>
      <c r="N16" s="13" t="s">
        <v>78</v>
      </c>
    </row>
    <row r="17" spans="1:14" x14ac:dyDescent="0.3">
      <c r="A17" s="31" t="s">
        <v>81</v>
      </c>
      <c r="B17" s="32" t="s">
        <v>82</v>
      </c>
      <c r="C17" s="33">
        <v>38214</v>
      </c>
      <c r="D17" s="33">
        <v>36015</v>
      </c>
      <c r="E17" s="33">
        <v>30045</v>
      </c>
      <c r="F17" s="33">
        <v>43520</v>
      </c>
      <c r="G17" s="33">
        <v>43714</v>
      </c>
      <c r="H17" s="33">
        <v>41194</v>
      </c>
      <c r="I17" s="33">
        <v>34864</v>
      </c>
      <c r="J17" s="33">
        <v>34649</v>
      </c>
      <c r="K17" s="33">
        <v>36132</v>
      </c>
      <c r="L17" s="33">
        <v>33401</v>
      </c>
      <c r="M17" s="33">
        <v>34624</v>
      </c>
      <c r="N17" s="13" t="s">
        <v>78</v>
      </c>
    </row>
    <row r="18" spans="1:14" x14ac:dyDescent="0.3">
      <c r="A18" s="31" t="s">
        <v>83</v>
      </c>
      <c r="B18" s="32" t="s">
        <v>84</v>
      </c>
      <c r="C18" s="33">
        <v>551</v>
      </c>
      <c r="D18" s="33">
        <v>565</v>
      </c>
      <c r="E18" s="33">
        <v>667</v>
      </c>
      <c r="F18" s="33">
        <v>729</v>
      </c>
      <c r="G18" s="33">
        <v>511</v>
      </c>
      <c r="H18" s="33">
        <v>491</v>
      </c>
      <c r="I18" s="33">
        <v>511</v>
      </c>
      <c r="J18" s="33">
        <v>567</v>
      </c>
      <c r="K18" s="33">
        <v>725</v>
      </c>
      <c r="L18" s="33">
        <v>800</v>
      </c>
      <c r="M18" s="33">
        <v>856</v>
      </c>
      <c r="N18" s="13" t="s">
        <v>78</v>
      </c>
    </row>
    <row r="19" spans="1:14" x14ac:dyDescent="0.3">
      <c r="A19" s="31" t="s">
        <v>85</v>
      </c>
      <c r="B19" s="32" t="s">
        <v>86</v>
      </c>
      <c r="C19" s="33">
        <v>5816</v>
      </c>
      <c r="D19" s="33">
        <v>6003</v>
      </c>
      <c r="E19" s="33">
        <v>6780</v>
      </c>
      <c r="F19" s="33">
        <v>6683</v>
      </c>
      <c r="G19" s="33">
        <v>4307</v>
      </c>
      <c r="H19" s="33">
        <v>3847</v>
      </c>
      <c r="I19" s="33">
        <v>4243</v>
      </c>
      <c r="J19" s="33">
        <v>4843</v>
      </c>
      <c r="K19" s="33">
        <v>5709</v>
      </c>
      <c r="L19" s="33">
        <v>5923</v>
      </c>
      <c r="M19" s="33">
        <v>5905</v>
      </c>
      <c r="N19" s="13" t="s">
        <v>78</v>
      </c>
    </row>
    <row r="20" spans="1:14" x14ac:dyDescent="0.3">
      <c r="A20" s="31" t="s">
        <v>87</v>
      </c>
      <c r="B20" s="32" t="s">
        <v>88</v>
      </c>
      <c r="C20" s="33">
        <v>6367</v>
      </c>
      <c r="D20" s="33">
        <v>6568</v>
      </c>
      <c r="E20" s="33">
        <v>7447</v>
      </c>
      <c r="F20" s="33">
        <v>7412</v>
      </c>
      <c r="G20" s="33">
        <v>4818</v>
      </c>
      <c r="H20" s="33">
        <v>4338</v>
      </c>
      <c r="I20" s="33">
        <v>4754</v>
      </c>
      <c r="J20" s="33">
        <v>5410</v>
      </c>
      <c r="K20" s="33">
        <v>6434</v>
      </c>
      <c r="L20" s="33">
        <v>6723</v>
      </c>
      <c r="M20" s="33">
        <v>6761</v>
      </c>
      <c r="N20" s="13" t="s">
        <v>78</v>
      </c>
    </row>
    <row r="21" spans="1:14" x14ac:dyDescent="0.3">
      <c r="A21" s="26" t="s">
        <v>89</v>
      </c>
      <c r="B21" s="13" t="s">
        <v>90</v>
      </c>
      <c r="C21" s="27">
        <v>24105</v>
      </c>
      <c r="D21" s="27">
        <v>22764</v>
      </c>
      <c r="E21" s="27">
        <v>20437</v>
      </c>
      <c r="F21" s="27">
        <v>21957</v>
      </c>
      <c r="G21" s="27">
        <v>20568</v>
      </c>
      <c r="H21" s="27">
        <v>22548</v>
      </c>
      <c r="I21" s="27">
        <v>25942</v>
      </c>
      <c r="J21" s="27">
        <v>20428</v>
      </c>
      <c r="K21" s="27">
        <v>27012</v>
      </c>
      <c r="L21" s="27">
        <v>29348</v>
      </c>
      <c r="M21" s="27">
        <v>29825</v>
      </c>
      <c r="N21" s="13" t="s">
        <v>91</v>
      </c>
    </row>
    <row r="22" spans="1:14" x14ac:dyDescent="0.3">
      <c r="A22" s="26" t="s">
        <v>92</v>
      </c>
      <c r="B22" s="13" t="s">
        <v>93</v>
      </c>
      <c r="C22" s="34" t="s">
        <v>94</v>
      </c>
      <c r="D22" s="34" t="s">
        <v>94</v>
      </c>
      <c r="E22" s="34" t="s">
        <v>94</v>
      </c>
      <c r="F22" s="34" t="s">
        <v>94</v>
      </c>
      <c r="G22" s="27">
        <v>17964</v>
      </c>
      <c r="H22" s="27">
        <v>14375</v>
      </c>
      <c r="I22" s="27">
        <v>14492</v>
      </c>
      <c r="J22" s="27">
        <v>14301</v>
      </c>
      <c r="K22" s="27">
        <v>14430</v>
      </c>
      <c r="L22" s="27">
        <v>14324</v>
      </c>
      <c r="M22" s="27">
        <v>15572</v>
      </c>
      <c r="N22" s="13" t="s">
        <v>91</v>
      </c>
    </row>
    <row r="23" spans="1:14" x14ac:dyDescent="0.3">
      <c r="A23" s="26" t="s">
        <v>95</v>
      </c>
      <c r="B23" s="13" t="s">
        <v>96</v>
      </c>
      <c r="C23" s="27">
        <v>199581</v>
      </c>
      <c r="D23" s="27">
        <v>198825</v>
      </c>
      <c r="E23" s="27">
        <v>204522</v>
      </c>
      <c r="F23" s="27">
        <v>219295</v>
      </c>
      <c r="G23" s="27">
        <v>236495</v>
      </c>
      <c r="H23" s="27">
        <v>252496</v>
      </c>
      <c r="I23" s="27">
        <v>244860</v>
      </c>
      <c r="J23" s="27">
        <v>243197</v>
      </c>
      <c r="K23" s="27">
        <v>252399</v>
      </c>
      <c r="L23" s="27">
        <v>260823</v>
      </c>
      <c r="M23" s="27">
        <v>284668</v>
      </c>
      <c r="N23" s="13" t="s">
        <v>91</v>
      </c>
    </row>
    <row r="24" spans="1:14" x14ac:dyDescent="0.3">
      <c r="A24" s="26" t="s">
        <v>97</v>
      </c>
      <c r="B24" s="13" t="s">
        <v>98</v>
      </c>
      <c r="C24" s="27">
        <v>44469</v>
      </c>
      <c r="D24" s="27">
        <v>43046</v>
      </c>
      <c r="E24" s="27">
        <v>43783</v>
      </c>
      <c r="F24" s="27">
        <v>44269</v>
      </c>
      <c r="G24" s="27">
        <v>44435</v>
      </c>
      <c r="H24" s="27">
        <v>44949</v>
      </c>
      <c r="I24" s="27">
        <v>56511</v>
      </c>
      <c r="J24" s="27">
        <v>56576</v>
      </c>
      <c r="K24" s="27">
        <v>54892</v>
      </c>
      <c r="L24" s="27">
        <v>56435</v>
      </c>
      <c r="M24" s="27">
        <v>58851</v>
      </c>
      <c r="N24" s="13" t="s">
        <v>91</v>
      </c>
    </row>
    <row r="26" spans="1:14" ht="19.95" customHeight="1" x14ac:dyDescent="0.3">
      <c r="A26" s="80" t="s">
        <v>99</v>
      </c>
      <c r="B26" s="81"/>
      <c r="C26" s="81"/>
      <c r="D26" s="81"/>
      <c r="E26" s="81"/>
      <c r="F26" s="81"/>
      <c r="G26" s="81"/>
      <c r="H26" s="81"/>
      <c r="I26" s="81"/>
      <c r="J26" s="81"/>
      <c r="K26" s="81"/>
      <c r="L26" s="81"/>
      <c r="M26" s="81"/>
      <c r="N26" s="81"/>
    </row>
    <row r="27" spans="1:14" x14ac:dyDescent="0.3">
      <c r="A27" s="24" t="s">
        <v>56</v>
      </c>
      <c r="B27" s="13" t="s">
        <v>100</v>
      </c>
      <c r="C27" s="25">
        <v>42246</v>
      </c>
      <c r="D27" s="25">
        <v>42610</v>
      </c>
      <c r="E27" s="25">
        <v>42981</v>
      </c>
      <c r="F27" s="25">
        <v>43345</v>
      </c>
      <c r="G27" s="25">
        <v>43709</v>
      </c>
      <c r="H27" s="25">
        <v>44073</v>
      </c>
      <c r="I27" s="25">
        <v>44437</v>
      </c>
      <c r="J27" s="25">
        <v>44801</v>
      </c>
      <c r="K27" s="25">
        <v>45172</v>
      </c>
      <c r="L27" s="25">
        <v>45536</v>
      </c>
      <c r="M27" s="25">
        <v>45900</v>
      </c>
    </row>
    <row r="28" spans="1:14" x14ac:dyDescent="0.3">
      <c r="A28" s="26" t="s">
        <v>58</v>
      </c>
      <c r="B28" s="13" t="s">
        <v>101</v>
      </c>
      <c r="C28" s="27">
        <v>113666</v>
      </c>
      <c r="D28" s="27">
        <v>116073</v>
      </c>
      <c r="E28" s="27">
        <v>126172</v>
      </c>
      <c r="F28" s="27">
        <v>138434</v>
      </c>
      <c r="G28" s="27">
        <v>149351</v>
      </c>
      <c r="H28" s="27">
        <v>163220</v>
      </c>
      <c r="I28" s="27">
        <v>192052</v>
      </c>
      <c r="J28" s="27">
        <v>222730</v>
      </c>
      <c r="K28" s="27">
        <v>237710</v>
      </c>
      <c r="L28" s="27">
        <v>249625</v>
      </c>
      <c r="M28" s="27">
        <v>269912</v>
      </c>
      <c r="N28" s="13" t="s">
        <v>102</v>
      </c>
    </row>
    <row r="29" spans="1:14" x14ac:dyDescent="0.3">
      <c r="A29" s="26" t="s">
        <v>61</v>
      </c>
      <c r="B29" s="13" t="s">
        <v>103</v>
      </c>
      <c r="C29" s="27">
        <v>101065</v>
      </c>
      <c r="D29" s="27">
        <v>102901</v>
      </c>
      <c r="E29" s="27">
        <v>111882</v>
      </c>
      <c r="F29" s="27">
        <v>123152</v>
      </c>
      <c r="G29" s="27">
        <v>132886</v>
      </c>
      <c r="H29" s="27">
        <v>144939</v>
      </c>
      <c r="I29" s="27">
        <v>170684</v>
      </c>
      <c r="J29" s="27">
        <v>199382</v>
      </c>
      <c r="K29" s="27">
        <v>212586</v>
      </c>
      <c r="L29" s="27">
        <v>222358</v>
      </c>
      <c r="M29" s="27">
        <v>239886</v>
      </c>
      <c r="N29" s="13" t="s">
        <v>60</v>
      </c>
    </row>
    <row r="30" spans="1:14" x14ac:dyDescent="0.3">
      <c r="A30" s="26" t="s">
        <v>63</v>
      </c>
      <c r="B30" s="13" t="s">
        <v>64</v>
      </c>
      <c r="C30" s="27">
        <v>2377</v>
      </c>
      <c r="D30" s="27">
        <v>2350</v>
      </c>
      <c r="E30" s="27">
        <v>2679</v>
      </c>
      <c r="F30" s="27">
        <v>3134</v>
      </c>
      <c r="G30" s="27">
        <v>3659</v>
      </c>
      <c r="H30" s="27">
        <v>4002</v>
      </c>
      <c r="I30" s="27">
        <v>5007</v>
      </c>
      <c r="J30" s="27">
        <v>5844</v>
      </c>
      <c r="K30" s="27">
        <v>6292</v>
      </c>
      <c r="L30" s="27">
        <v>7367</v>
      </c>
      <c r="M30" s="27">
        <v>8099</v>
      </c>
      <c r="N30" s="13" t="s">
        <v>65</v>
      </c>
    </row>
    <row r="31" spans="1:14" x14ac:dyDescent="0.3">
      <c r="A31" s="26" t="s">
        <v>66</v>
      </c>
      <c r="B31" s="13" t="s">
        <v>67</v>
      </c>
      <c r="C31" s="27">
        <v>16779</v>
      </c>
      <c r="D31" s="27">
        <v>15218</v>
      </c>
      <c r="E31" s="27">
        <v>17317</v>
      </c>
      <c r="F31" s="27">
        <v>20289</v>
      </c>
      <c r="G31" s="27">
        <v>23485</v>
      </c>
      <c r="H31" s="27">
        <v>28120</v>
      </c>
      <c r="I31" s="27">
        <v>29505</v>
      </c>
      <c r="J31" s="27">
        <v>32696</v>
      </c>
      <c r="K31" s="27">
        <v>35879</v>
      </c>
      <c r="L31" s="27">
        <v>34246</v>
      </c>
      <c r="M31" s="27">
        <v>38380</v>
      </c>
      <c r="N31" s="13" t="s">
        <v>60</v>
      </c>
    </row>
    <row r="32" spans="1:14" x14ac:dyDescent="0.3">
      <c r="A32" s="26" t="s">
        <v>68</v>
      </c>
      <c r="B32" s="13" t="s">
        <v>69</v>
      </c>
      <c r="C32" s="27">
        <v>16539</v>
      </c>
      <c r="D32" s="27">
        <v>15575</v>
      </c>
      <c r="E32" s="27">
        <v>17495</v>
      </c>
      <c r="F32" s="27">
        <v>19926</v>
      </c>
      <c r="G32" s="27">
        <v>23237</v>
      </c>
      <c r="H32" s="27">
        <v>24844</v>
      </c>
      <c r="I32" s="27">
        <v>29441</v>
      </c>
      <c r="J32" s="27">
        <v>31998</v>
      </c>
      <c r="K32" s="27">
        <v>33583</v>
      </c>
      <c r="L32" s="27">
        <v>35464</v>
      </c>
      <c r="M32" s="27">
        <v>37108</v>
      </c>
      <c r="N32" s="13" t="s">
        <v>60</v>
      </c>
    </row>
    <row r="33" spans="1:14" x14ac:dyDescent="0.3">
      <c r="A33" s="26" t="s">
        <v>70</v>
      </c>
      <c r="B33" s="13" t="s">
        <v>71</v>
      </c>
      <c r="C33" s="27">
        <v>10843</v>
      </c>
      <c r="D33" s="27">
        <v>12332</v>
      </c>
      <c r="E33" s="27">
        <v>11079</v>
      </c>
      <c r="F33" s="27">
        <v>13103</v>
      </c>
      <c r="G33" s="27">
        <v>15584</v>
      </c>
      <c r="H33" s="27">
        <v>18705</v>
      </c>
      <c r="I33" s="27">
        <v>18078</v>
      </c>
      <c r="J33" s="27">
        <v>20647</v>
      </c>
      <c r="K33" s="27">
        <v>25058</v>
      </c>
      <c r="L33" s="27">
        <v>23622</v>
      </c>
      <c r="M33" s="27">
        <v>29164</v>
      </c>
      <c r="N33" s="13" t="s">
        <v>60</v>
      </c>
    </row>
    <row r="34" spans="1:14" x14ac:dyDescent="0.3">
      <c r="A34" s="28" t="s">
        <v>73</v>
      </c>
      <c r="B34" s="29" t="s">
        <v>74</v>
      </c>
      <c r="C34" s="30">
        <f t="shared" ref="C34:M34" si="1">SUM(C35,C36)+IF(COUNT(C37,C38)&gt;0,SUM(C37,C38),IF(ISNUMBER(C39),C39,0))</f>
        <v>6431</v>
      </c>
      <c r="D34" s="30">
        <f t="shared" si="1"/>
        <v>5535</v>
      </c>
      <c r="E34" s="30">
        <f t="shared" si="1"/>
        <v>7039</v>
      </c>
      <c r="F34" s="30">
        <f t="shared" si="1"/>
        <v>6974</v>
      </c>
      <c r="G34" s="30">
        <f t="shared" si="1"/>
        <v>7244</v>
      </c>
      <c r="H34" s="30">
        <f t="shared" si="1"/>
        <v>8297</v>
      </c>
      <c r="I34" s="30">
        <f t="shared" si="1"/>
        <v>8543</v>
      </c>
      <c r="J34" s="30">
        <f t="shared" si="1"/>
        <v>8185</v>
      </c>
      <c r="K34" s="30">
        <f t="shared" si="1"/>
        <v>7890</v>
      </c>
      <c r="L34" s="30">
        <f t="shared" si="1"/>
        <v>7395</v>
      </c>
      <c r="M34" s="30">
        <f t="shared" si="1"/>
        <v>7267</v>
      </c>
      <c r="N34" s="13" t="s">
        <v>104</v>
      </c>
    </row>
    <row r="35" spans="1:14" x14ac:dyDescent="0.3">
      <c r="A35" s="31" t="s">
        <v>79</v>
      </c>
      <c r="B35" s="32" t="s">
        <v>80</v>
      </c>
      <c r="C35" s="33">
        <v>1283</v>
      </c>
      <c r="D35" s="33">
        <v>1100</v>
      </c>
      <c r="E35" s="33">
        <v>86</v>
      </c>
      <c r="F35" s="33">
        <v>90</v>
      </c>
      <c r="G35" s="33">
        <v>1699</v>
      </c>
      <c r="H35" s="33">
        <v>95</v>
      </c>
      <c r="I35" s="33">
        <v>799</v>
      </c>
      <c r="J35" s="33">
        <v>73</v>
      </c>
      <c r="K35" s="33">
        <v>1081</v>
      </c>
      <c r="L35" s="33">
        <v>103</v>
      </c>
      <c r="M35" s="33">
        <v>75</v>
      </c>
      <c r="N35" s="13" t="s">
        <v>78</v>
      </c>
    </row>
    <row r="36" spans="1:14" x14ac:dyDescent="0.3">
      <c r="A36" s="31" t="s">
        <v>81</v>
      </c>
      <c r="B36" s="32" t="s">
        <v>82</v>
      </c>
      <c r="C36" s="33">
        <v>4852</v>
      </c>
      <c r="D36" s="33">
        <v>4061</v>
      </c>
      <c r="E36" s="33">
        <v>6573</v>
      </c>
      <c r="F36" s="33">
        <v>6487</v>
      </c>
      <c r="G36" s="33">
        <v>5124</v>
      </c>
      <c r="H36" s="33">
        <v>7514</v>
      </c>
      <c r="I36" s="33">
        <v>6692</v>
      </c>
      <c r="J36" s="33">
        <v>6484</v>
      </c>
      <c r="K36" s="33">
        <v>5377</v>
      </c>
      <c r="L36" s="33">
        <v>5794</v>
      </c>
      <c r="M36" s="33">
        <v>5713</v>
      </c>
      <c r="N36" s="13" t="s">
        <v>78</v>
      </c>
    </row>
    <row r="37" spans="1:14" x14ac:dyDescent="0.3">
      <c r="A37" s="31" t="s">
        <v>83</v>
      </c>
      <c r="B37" s="32" t="s">
        <v>84</v>
      </c>
      <c r="C37" s="33">
        <v>10</v>
      </c>
      <c r="D37" s="33">
        <v>10</v>
      </c>
      <c r="E37" s="33">
        <v>7</v>
      </c>
      <c r="F37" s="33">
        <v>7</v>
      </c>
      <c r="G37" s="35">
        <v>26</v>
      </c>
      <c r="H37" s="33">
        <v>31</v>
      </c>
      <c r="I37" s="36" t="s">
        <v>94</v>
      </c>
      <c r="J37" s="36" t="s">
        <v>94</v>
      </c>
      <c r="K37" s="36" t="s">
        <v>94</v>
      </c>
      <c r="L37" s="33">
        <v>147</v>
      </c>
      <c r="M37" s="33">
        <v>78</v>
      </c>
      <c r="N37" s="13" t="s">
        <v>105</v>
      </c>
    </row>
    <row r="38" spans="1:14" x14ac:dyDescent="0.3">
      <c r="A38" s="31" t="s">
        <v>85</v>
      </c>
      <c r="B38" s="32" t="s">
        <v>86</v>
      </c>
      <c r="C38" s="33">
        <v>286</v>
      </c>
      <c r="D38" s="33">
        <v>364</v>
      </c>
      <c r="E38" s="33">
        <v>373</v>
      </c>
      <c r="F38" s="33">
        <v>390</v>
      </c>
      <c r="G38" s="35">
        <v>395</v>
      </c>
      <c r="H38" s="33">
        <v>657</v>
      </c>
      <c r="I38" s="36" t="s">
        <v>94</v>
      </c>
      <c r="J38" s="36" t="s">
        <v>94</v>
      </c>
      <c r="K38" s="36" t="s">
        <v>94</v>
      </c>
      <c r="L38" s="33">
        <v>1351</v>
      </c>
      <c r="M38" s="33">
        <v>1401</v>
      </c>
      <c r="N38" s="13" t="s">
        <v>106</v>
      </c>
    </row>
    <row r="39" spans="1:14" x14ac:dyDescent="0.3">
      <c r="A39" s="31" t="s">
        <v>87</v>
      </c>
      <c r="B39" s="32" t="s">
        <v>107</v>
      </c>
      <c r="C39" s="36" t="s">
        <v>94</v>
      </c>
      <c r="D39" s="36" t="s">
        <v>94</v>
      </c>
      <c r="E39" s="36" t="s">
        <v>94</v>
      </c>
      <c r="F39" s="36" t="s">
        <v>94</v>
      </c>
      <c r="G39" s="36" t="s">
        <v>94</v>
      </c>
      <c r="H39" s="33">
        <v>688</v>
      </c>
      <c r="I39" s="33">
        <v>1052</v>
      </c>
      <c r="J39" s="35">
        <v>1628</v>
      </c>
      <c r="K39" s="35">
        <v>1432</v>
      </c>
      <c r="L39" s="36" t="s">
        <v>94</v>
      </c>
      <c r="M39" s="33">
        <v>1479</v>
      </c>
      <c r="N39" s="13" t="s">
        <v>108</v>
      </c>
    </row>
    <row r="40" spans="1:14" x14ac:dyDescent="0.3">
      <c r="A40" s="26" t="s">
        <v>89</v>
      </c>
      <c r="B40" s="13" t="s">
        <v>90</v>
      </c>
      <c r="C40" s="27">
        <v>3624</v>
      </c>
      <c r="D40" s="27">
        <v>3672</v>
      </c>
      <c r="E40" s="27">
        <v>4111</v>
      </c>
      <c r="F40" s="27">
        <v>4480</v>
      </c>
      <c r="G40" s="27">
        <v>4737</v>
      </c>
      <c r="H40" s="27">
        <v>5435</v>
      </c>
      <c r="I40" s="27">
        <v>6708</v>
      </c>
      <c r="J40" s="27">
        <v>7793</v>
      </c>
      <c r="K40" s="27">
        <v>8114</v>
      </c>
      <c r="L40" s="27">
        <v>9285</v>
      </c>
      <c r="M40" s="27">
        <v>10383</v>
      </c>
      <c r="N40" s="13" t="s">
        <v>91</v>
      </c>
    </row>
    <row r="41" spans="1:14" x14ac:dyDescent="0.3">
      <c r="A41" s="26" t="s">
        <v>92</v>
      </c>
      <c r="B41" s="13" t="s">
        <v>93</v>
      </c>
      <c r="C41" s="34" t="s">
        <v>94</v>
      </c>
      <c r="D41" s="34" t="s">
        <v>94</v>
      </c>
      <c r="E41" s="34" t="s">
        <v>94</v>
      </c>
      <c r="F41" s="34" t="s">
        <v>94</v>
      </c>
      <c r="G41" s="34" t="s">
        <v>94</v>
      </c>
      <c r="H41" s="27">
        <v>2789</v>
      </c>
      <c r="I41" s="27">
        <v>2864</v>
      </c>
      <c r="J41" s="27">
        <v>2721</v>
      </c>
      <c r="K41" s="27">
        <v>2646</v>
      </c>
      <c r="L41" s="27">
        <v>2554</v>
      </c>
      <c r="M41" s="27">
        <v>2668</v>
      </c>
      <c r="N41" s="13" t="s">
        <v>91</v>
      </c>
    </row>
    <row r="42" spans="1:14" x14ac:dyDescent="0.3">
      <c r="A42" s="26" t="s">
        <v>95</v>
      </c>
      <c r="B42" s="13" t="s">
        <v>96</v>
      </c>
      <c r="C42" s="27">
        <v>33017</v>
      </c>
      <c r="D42" s="27">
        <v>33163</v>
      </c>
      <c r="E42" s="27">
        <v>36347</v>
      </c>
      <c r="F42" s="27">
        <v>40830</v>
      </c>
      <c r="G42" s="27">
        <v>45400</v>
      </c>
      <c r="H42" s="27">
        <v>55556</v>
      </c>
      <c r="I42" s="27">
        <v>59268</v>
      </c>
      <c r="J42" s="27">
        <v>64166</v>
      </c>
      <c r="K42" s="27">
        <v>68994</v>
      </c>
      <c r="L42" s="27">
        <v>69831</v>
      </c>
      <c r="M42" s="27">
        <v>77099</v>
      </c>
      <c r="N42" s="13" t="s">
        <v>91</v>
      </c>
    </row>
    <row r="43" spans="1:14" x14ac:dyDescent="0.3">
      <c r="A43" s="26" t="s">
        <v>97</v>
      </c>
      <c r="B43" s="13" t="s">
        <v>98</v>
      </c>
      <c r="C43" s="27">
        <v>8908</v>
      </c>
      <c r="D43" s="27">
        <v>8969</v>
      </c>
      <c r="E43" s="27">
        <v>9834</v>
      </c>
      <c r="F43" s="27">
        <v>11040</v>
      </c>
      <c r="G43" s="27">
        <v>11395</v>
      </c>
      <c r="H43" s="27">
        <v>12242</v>
      </c>
      <c r="I43" s="27">
        <v>14215</v>
      </c>
      <c r="J43" s="27">
        <v>17907</v>
      </c>
      <c r="K43" s="27">
        <v>16651</v>
      </c>
      <c r="L43" s="27">
        <v>18647</v>
      </c>
      <c r="M43" s="27">
        <v>18116</v>
      </c>
      <c r="N43" s="13" t="s">
        <v>91</v>
      </c>
    </row>
    <row r="44" spans="1:14" x14ac:dyDescent="0.3">
      <c r="A44" s="26" t="s">
        <v>109</v>
      </c>
      <c r="B44" s="13" t="s">
        <v>110</v>
      </c>
      <c r="C44" s="27">
        <v>82</v>
      </c>
      <c r="D44" s="34" t="s">
        <v>94</v>
      </c>
      <c r="E44" s="27">
        <v>0</v>
      </c>
      <c r="F44" s="34" t="s">
        <v>94</v>
      </c>
      <c r="G44" s="34" t="s">
        <v>94</v>
      </c>
      <c r="H44" s="34" t="s">
        <v>94</v>
      </c>
      <c r="I44" s="34" t="s">
        <v>94</v>
      </c>
      <c r="J44" s="34" t="s">
        <v>94</v>
      </c>
      <c r="K44" s="34" t="s">
        <v>94</v>
      </c>
      <c r="L44" s="34" t="s">
        <v>94</v>
      </c>
      <c r="M44" s="34" t="s">
        <v>94</v>
      </c>
      <c r="N44" s="13" t="s">
        <v>91</v>
      </c>
    </row>
    <row r="45" spans="1:14" x14ac:dyDescent="0.3">
      <c r="A45" s="26" t="s">
        <v>111</v>
      </c>
      <c r="B45" s="13" t="s">
        <v>112</v>
      </c>
      <c r="C45" s="27">
        <v>116199</v>
      </c>
      <c r="D45" s="27">
        <v>118719</v>
      </c>
      <c r="E45" s="27">
        <v>129025</v>
      </c>
      <c r="F45" s="27">
        <v>141576</v>
      </c>
      <c r="G45" s="27">
        <v>152703</v>
      </c>
      <c r="H45" s="27">
        <v>166761</v>
      </c>
      <c r="I45" s="27">
        <v>195929</v>
      </c>
      <c r="J45" s="27">
        <v>226954</v>
      </c>
      <c r="K45" s="27">
        <v>242290</v>
      </c>
      <c r="L45" s="27">
        <v>254453</v>
      </c>
      <c r="M45" s="27">
        <v>275235</v>
      </c>
      <c r="N45" s="13" t="s">
        <v>113</v>
      </c>
    </row>
    <row r="46" spans="1:14" x14ac:dyDescent="0.3">
      <c r="A46" s="26" t="s">
        <v>114</v>
      </c>
      <c r="B46" s="13" t="s">
        <v>115</v>
      </c>
      <c r="C46" s="37">
        <f t="shared" ref="C46:M46" si="2">IFERROR(C45-C28,"n/a")</f>
        <v>2533</v>
      </c>
      <c r="D46" s="37">
        <f t="shared" si="2"/>
        <v>2646</v>
      </c>
      <c r="E46" s="37">
        <f t="shared" si="2"/>
        <v>2853</v>
      </c>
      <c r="F46" s="37">
        <f t="shared" si="2"/>
        <v>3142</v>
      </c>
      <c r="G46" s="37">
        <f t="shared" si="2"/>
        <v>3352</v>
      </c>
      <c r="H46" s="37">
        <f t="shared" si="2"/>
        <v>3541</v>
      </c>
      <c r="I46" s="37">
        <f t="shared" si="2"/>
        <v>3877</v>
      </c>
      <c r="J46" s="37">
        <f t="shared" si="2"/>
        <v>4224</v>
      </c>
      <c r="K46" s="37">
        <f t="shared" si="2"/>
        <v>4580</v>
      </c>
      <c r="L46" s="37">
        <f t="shared" si="2"/>
        <v>4828</v>
      </c>
      <c r="M46" s="37">
        <f t="shared" si="2"/>
        <v>5323</v>
      </c>
      <c r="N46" s="13" t="s">
        <v>116</v>
      </c>
    </row>
    <row r="48" spans="1:14" ht="19.95" customHeight="1" x14ac:dyDescent="0.3">
      <c r="A48" s="80" t="s">
        <v>117</v>
      </c>
      <c r="B48" s="81"/>
      <c r="C48" s="81"/>
      <c r="D48" s="81"/>
      <c r="E48" s="81"/>
      <c r="F48" s="81"/>
      <c r="G48" s="81"/>
      <c r="H48" s="81"/>
      <c r="I48" s="81"/>
      <c r="J48" s="81"/>
      <c r="K48" s="81"/>
      <c r="L48" s="81"/>
      <c r="M48" s="81"/>
      <c r="N48" s="81"/>
    </row>
    <row r="49" spans="1:14" x14ac:dyDescent="0.3">
      <c r="A49" s="24" t="s">
        <v>56</v>
      </c>
      <c r="B49" s="13" t="s">
        <v>118</v>
      </c>
      <c r="C49" s="25">
        <v>42399</v>
      </c>
      <c r="D49" s="25">
        <v>42763</v>
      </c>
      <c r="E49" s="25">
        <v>43134</v>
      </c>
      <c r="F49" s="25">
        <v>43498</v>
      </c>
      <c r="G49" s="25">
        <v>43862</v>
      </c>
      <c r="H49" s="25">
        <v>44226</v>
      </c>
      <c r="I49" s="25">
        <v>44590</v>
      </c>
      <c r="J49" s="25">
        <v>44954</v>
      </c>
      <c r="K49" s="25">
        <v>45325</v>
      </c>
      <c r="L49" s="25">
        <v>45689</v>
      </c>
      <c r="M49" s="25">
        <v>46053</v>
      </c>
    </row>
    <row r="50" spans="1:14" x14ac:dyDescent="0.3">
      <c r="A50" s="26" t="s">
        <v>58</v>
      </c>
      <c r="B50" s="13" t="s">
        <v>119</v>
      </c>
      <c r="C50" s="27">
        <v>109830</v>
      </c>
      <c r="D50" s="27">
        <v>115337</v>
      </c>
      <c r="E50" s="27">
        <v>123280</v>
      </c>
      <c r="F50" s="27">
        <v>121852</v>
      </c>
      <c r="G50" s="27">
        <v>122286</v>
      </c>
      <c r="H50" s="27">
        <v>132498</v>
      </c>
      <c r="I50" s="27">
        <v>137888</v>
      </c>
      <c r="J50" s="27">
        <v>148258</v>
      </c>
      <c r="K50" s="27">
        <v>150039</v>
      </c>
      <c r="L50" s="27">
        <v>147123</v>
      </c>
      <c r="M50" s="27">
        <v>147642</v>
      </c>
      <c r="N50" s="13" t="s">
        <v>60</v>
      </c>
    </row>
    <row r="51" spans="1:14" x14ac:dyDescent="0.3">
      <c r="A51" s="26" t="s">
        <v>61</v>
      </c>
      <c r="B51" s="13" t="s">
        <v>120</v>
      </c>
      <c r="C51" s="27">
        <v>85496</v>
      </c>
      <c r="D51" s="27">
        <v>89502</v>
      </c>
      <c r="E51" s="27">
        <v>95811</v>
      </c>
      <c r="F51" s="27">
        <v>95103</v>
      </c>
      <c r="G51" s="27">
        <v>95294</v>
      </c>
      <c r="H51" s="27">
        <v>101597</v>
      </c>
      <c r="I51" s="27">
        <v>107539</v>
      </c>
      <c r="J51" s="27">
        <v>116480</v>
      </c>
      <c r="K51" s="27">
        <v>116675</v>
      </c>
      <c r="L51" s="27">
        <v>113720</v>
      </c>
      <c r="M51" s="27">
        <v>113240</v>
      </c>
      <c r="N51" s="13" t="s">
        <v>60</v>
      </c>
    </row>
    <row r="52" spans="1:14" x14ac:dyDescent="0.3">
      <c r="A52" s="26" t="s">
        <v>63</v>
      </c>
      <c r="B52" s="13" t="s">
        <v>64</v>
      </c>
      <c r="C52" s="27">
        <v>2039</v>
      </c>
      <c r="D52" s="27">
        <v>1975</v>
      </c>
      <c r="E52" s="27">
        <v>1907</v>
      </c>
      <c r="F52" s="27">
        <v>3110</v>
      </c>
      <c r="G52" s="27">
        <v>1659</v>
      </c>
      <c r="H52" s="27">
        <v>2585</v>
      </c>
      <c r="I52" s="27">
        <v>1655</v>
      </c>
      <c r="J52" s="27">
        <v>2244</v>
      </c>
      <c r="K52" s="27">
        <v>2164</v>
      </c>
      <c r="L52" s="27">
        <v>2665</v>
      </c>
      <c r="M52" s="27">
        <v>1016</v>
      </c>
      <c r="N52" s="13" t="s">
        <v>65</v>
      </c>
    </row>
    <row r="53" spans="1:14" x14ac:dyDescent="0.3">
      <c r="A53" s="26" t="s">
        <v>66</v>
      </c>
      <c r="B53" s="13" t="s">
        <v>67</v>
      </c>
      <c r="C53" s="27">
        <v>9892</v>
      </c>
      <c r="D53" s="27">
        <v>10340</v>
      </c>
      <c r="E53" s="27">
        <v>11117</v>
      </c>
      <c r="F53" s="27">
        <v>10803</v>
      </c>
      <c r="G53" s="27">
        <v>10890</v>
      </c>
      <c r="H53" s="27">
        <v>12503</v>
      </c>
      <c r="I53" s="27">
        <v>12174</v>
      </c>
      <c r="J53" s="27">
        <v>12670</v>
      </c>
      <c r="K53" s="27">
        <v>12948</v>
      </c>
      <c r="L53" s="27">
        <v>15273</v>
      </c>
      <c r="M53" s="27">
        <v>14505</v>
      </c>
      <c r="N53" s="13" t="s">
        <v>60</v>
      </c>
    </row>
    <row r="54" spans="1:14" x14ac:dyDescent="0.3">
      <c r="A54" s="26" t="s">
        <v>68</v>
      </c>
      <c r="B54" s="13" t="s">
        <v>69</v>
      </c>
      <c r="C54" s="27">
        <v>12971</v>
      </c>
      <c r="D54" s="27">
        <v>12860</v>
      </c>
      <c r="E54" s="27">
        <v>14197</v>
      </c>
      <c r="F54" s="27">
        <v>14274</v>
      </c>
      <c r="G54" s="27">
        <v>14243</v>
      </c>
      <c r="H54" s="27">
        <v>15366</v>
      </c>
      <c r="I54" s="27">
        <v>16323</v>
      </c>
      <c r="J54" s="27">
        <v>17238</v>
      </c>
      <c r="K54" s="27">
        <v>16058</v>
      </c>
      <c r="L54" s="27">
        <v>15940</v>
      </c>
      <c r="M54" s="27">
        <v>18108</v>
      </c>
      <c r="N54" s="13" t="s">
        <v>60</v>
      </c>
    </row>
    <row r="55" spans="1:14" x14ac:dyDescent="0.3">
      <c r="A55" s="26" t="s">
        <v>70</v>
      </c>
      <c r="B55" s="13" t="s">
        <v>71</v>
      </c>
      <c r="C55" s="27">
        <v>6798</v>
      </c>
      <c r="D55" s="27">
        <v>6710</v>
      </c>
      <c r="E55" s="27">
        <v>6905</v>
      </c>
      <c r="F55" s="27">
        <v>7835</v>
      </c>
      <c r="G55" s="27">
        <v>8573</v>
      </c>
      <c r="H55" s="27">
        <v>9550</v>
      </c>
      <c r="I55" s="27">
        <v>9429</v>
      </c>
      <c r="J55" s="27">
        <v>10014</v>
      </c>
      <c r="K55" s="27">
        <v>11601</v>
      </c>
      <c r="L55" s="27">
        <v>8281</v>
      </c>
      <c r="M55" s="27">
        <v>5936</v>
      </c>
      <c r="N55" s="13" t="s">
        <v>60</v>
      </c>
    </row>
    <row r="56" spans="1:14" x14ac:dyDescent="0.3">
      <c r="A56" s="28" t="s">
        <v>73</v>
      </c>
      <c r="B56" s="29" t="s">
        <v>74</v>
      </c>
      <c r="C56" s="30">
        <f t="shared" ref="C56:M56" si="3">IF(ISNUMBER(C62),SUM(C62,C63),SUM(C57,C58)+IF(COUNT(C59,C60)&gt;0,SUM(C59,C60),IF(ISNUMBER(C61),C61,0)))</f>
        <v>12079</v>
      </c>
      <c r="D56" s="30">
        <f t="shared" si="3"/>
        <v>14077</v>
      </c>
      <c r="E56" s="30">
        <f t="shared" si="3"/>
        <v>15589</v>
      </c>
      <c r="F56" s="30">
        <f t="shared" si="3"/>
        <v>15229</v>
      </c>
      <c r="G56" s="30">
        <f t="shared" si="3"/>
        <v>14076</v>
      </c>
      <c r="H56" s="30">
        <f t="shared" si="3"/>
        <v>13413</v>
      </c>
      <c r="I56" s="30">
        <f t="shared" si="3"/>
        <v>13364</v>
      </c>
      <c r="J56" s="30">
        <f t="shared" si="3"/>
        <v>13378</v>
      </c>
      <c r="K56" s="30">
        <f t="shared" si="3"/>
        <v>12226</v>
      </c>
      <c r="L56" s="30">
        <f t="shared" si="3"/>
        <v>17905</v>
      </c>
      <c r="M56" s="30">
        <f t="shared" si="3"/>
        <v>17566</v>
      </c>
      <c r="N56" s="13" t="s">
        <v>121</v>
      </c>
    </row>
    <row r="57" spans="1:14" x14ac:dyDescent="0.3">
      <c r="A57" s="31" t="s">
        <v>79</v>
      </c>
      <c r="B57" s="32" t="s">
        <v>80</v>
      </c>
      <c r="C57" s="33">
        <v>2318</v>
      </c>
      <c r="D57" s="33">
        <v>2197</v>
      </c>
      <c r="E57" s="33">
        <v>3509</v>
      </c>
      <c r="F57" s="33">
        <v>3103</v>
      </c>
      <c r="G57" s="33">
        <v>1926</v>
      </c>
      <c r="H57" s="33">
        <v>844</v>
      </c>
      <c r="I57" s="33">
        <v>451</v>
      </c>
      <c r="J57" s="33">
        <v>1153</v>
      </c>
      <c r="K57" s="33">
        <v>25</v>
      </c>
      <c r="L57" s="33">
        <v>104</v>
      </c>
      <c r="M57" s="33">
        <v>1366</v>
      </c>
      <c r="N57" s="13" t="s">
        <v>78</v>
      </c>
    </row>
    <row r="58" spans="1:14" x14ac:dyDescent="0.3">
      <c r="A58" s="31" t="s">
        <v>81</v>
      </c>
      <c r="B58" s="32" t="s">
        <v>82</v>
      </c>
      <c r="C58" s="33">
        <v>9078</v>
      </c>
      <c r="D58" s="33">
        <v>11118</v>
      </c>
      <c r="E58" s="33">
        <v>11278</v>
      </c>
      <c r="F58" s="33">
        <v>11248</v>
      </c>
      <c r="G58" s="33">
        <v>11330</v>
      </c>
      <c r="H58" s="33">
        <v>11566</v>
      </c>
      <c r="I58" s="33">
        <v>11294</v>
      </c>
      <c r="J58" s="33">
        <v>10139</v>
      </c>
      <c r="K58" s="33">
        <v>10162</v>
      </c>
      <c r="L58" s="33">
        <v>15805</v>
      </c>
      <c r="M58" s="33">
        <v>14509</v>
      </c>
      <c r="N58" s="13" t="s">
        <v>78</v>
      </c>
    </row>
    <row r="59" spans="1:14" x14ac:dyDescent="0.3">
      <c r="A59" s="31" t="s">
        <v>83</v>
      </c>
      <c r="B59" s="32" t="s">
        <v>122</v>
      </c>
      <c r="C59" s="36" t="s">
        <v>94</v>
      </c>
      <c r="D59" s="36" t="s">
        <v>94</v>
      </c>
      <c r="E59" s="36" t="s">
        <v>94</v>
      </c>
      <c r="F59" s="33">
        <v>54</v>
      </c>
      <c r="G59" s="33">
        <v>39</v>
      </c>
      <c r="H59" s="33">
        <v>67</v>
      </c>
      <c r="I59" s="33">
        <v>104</v>
      </c>
      <c r="J59" s="33">
        <v>157</v>
      </c>
      <c r="K59" s="33">
        <v>173</v>
      </c>
      <c r="L59" s="33">
        <v>168</v>
      </c>
      <c r="M59" s="33">
        <v>436</v>
      </c>
      <c r="N59" s="13" t="s">
        <v>78</v>
      </c>
    </row>
    <row r="60" spans="1:14" x14ac:dyDescent="0.3">
      <c r="A60" s="31" t="s">
        <v>85</v>
      </c>
      <c r="B60" s="32" t="s">
        <v>123</v>
      </c>
      <c r="C60" s="36" t="s">
        <v>94</v>
      </c>
      <c r="D60" s="36" t="s">
        <v>94</v>
      </c>
      <c r="E60" s="36" t="s">
        <v>94</v>
      </c>
      <c r="F60" s="33">
        <v>824</v>
      </c>
      <c r="G60" s="33">
        <v>781</v>
      </c>
      <c r="H60" s="33">
        <v>936</v>
      </c>
      <c r="I60" s="33">
        <v>1515</v>
      </c>
      <c r="J60" s="33">
        <v>1929</v>
      </c>
      <c r="K60" s="33">
        <v>1866</v>
      </c>
      <c r="L60" s="33">
        <v>1828</v>
      </c>
      <c r="M60" s="33">
        <v>1255</v>
      </c>
      <c r="N60" s="13" t="s">
        <v>78</v>
      </c>
    </row>
    <row r="61" spans="1:14" x14ac:dyDescent="0.3">
      <c r="A61" s="31" t="s">
        <v>87</v>
      </c>
      <c r="B61" s="32" t="s">
        <v>124</v>
      </c>
      <c r="C61" s="36" t="s">
        <v>94</v>
      </c>
      <c r="D61" s="36" t="s">
        <v>94</v>
      </c>
      <c r="E61" s="36" t="s">
        <v>94</v>
      </c>
      <c r="F61" s="36" t="s">
        <v>94</v>
      </c>
      <c r="G61" s="33">
        <v>820</v>
      </c>
      <c r="H61" s="33">
        <v>1003</v>
      </c>
      <c r="I61" s="33">
        <v>1619</v>
      </c>
      <c r="J61" s="33">
        <v>2086</v>
      </c>
      <c r="K61" s="33">
        <v>2039</v>
      </c>
      <c r="L61" s="33">
        <v>1996</v>
      </c>
      <c r="M61" s="33">
        <v>1691</v>
      </c>
      <c r="N61" s="13" t="s">
        <v>78</v>
      </c>
    </row>
    <row r="62" spans="1:14" x14ac:dyDescent="0.3">
      <c r="A62" s="31" t="s">
        <v>125</v>
      </c>
      <c r="B62" s="32" t="s">
        <v>126</v>
      </c>
      <c r="C62" s="33">
        <v>2370</v>
      </c>
      <c r="D62" s="33">
        <v>2252</v>
      </c>
      <c r="E62" s="33">
        <v>3560</v>
      </c>
      <c r="F62" s="33">
        <v>3157</v>
      </c>
      <c r="G62" s="36" t="s">
        <v>94</v>
      </c>
      <c r="H62" s="36" t="s">
        <v>94</v>
      </c>
      <c r="I62" s="36" t="s">
        <v>94</v>
      </c>
      <c r="J62" s="36" t="s">
        <v>94</v>
      </c>
      <c r="K62" s="36" t="s">
        <v>94</v>
      </c>
      <c r="L62" s="36" t="s">
        <v>94</v>
      </c>
      <c r="M62" s="36" t="s">
        <v>94</v>
      </c>
      <c r="N62" s="13" t="s">
        <v>78</v>
      </c>
    </row>
    <row r="63" spans="1:14" x14ac:dyDescent="0.3">
      <c r="A63" s="31" t="s">
        <v>127</v>
      </c>
      <c r="B63" s="32" t="s">
        <v>128</v>
      </c>
      <c r="C63" s="33">
        <v>9709</v>
      </c>
      <c r="D63" s="33">
        <v>11825</v>
      </c>
      <c r="E63" s="33">
        <v>12029</v>
      </c>
      <c r="F63" s="33">
        <v>12072</v>
      </c>
      <c r="G63" s="36" t="s">
        <v>94</v>
      </c>
      <c r="H63" s="36" t="s">
        <v>94</v>
      </c>
      <c r="I63" s="36" t="s">
        <v>94</v>
      </c>
      <c r="J63" s="36" t="s">
        <v>94</v>
      </c>
      <c r="K63" s="36" t="s">
        <v>94</v>
      </c>
      <c r="L63" s="36" t="s">
        <v>94</v>
      </c>
      <c r="M63" s="36" t="s">
        <v>94</v>
      </c>
      <c r="N63" s="13" t="s">
        <v>78</v>
      </c>
    </row>
    <row r="64" spans="1:14" x14ac:dyDescent="0.3">
      <c r="A64" s="26" t="s">
        <v>89</v>
      </c>
      <c r="B64" s="13" t="s">
        <v>90</v>
      </c>
      <c r="C64" s="27">
        <v>3576</v>
      </c>
      <c r="D64" s="27">
        <v>3452</v>
      </c>
      <c r="E64" s="27">
        <v>2612</v>
      </c>
      <c r="F64" s="27">
        <v>2614</v>
      </c>
      <c r="G64" s="27">
        <v>2251</v>
      </c>
      <c r="H64" s="27">
        <v>2780</v>
      </c>
      <c r="I64" s="27">
        <v>3477</v>
      </c>
      <c r="J64" s="27">
        <v>4126</v>
      </c>
      <c r="K64" s="27">
        <v>3096</v>
      </c>
      <c r="L64" s="27">
        <v>3849</v>
      </c>
      <c r="M64" s="27">
        <v>1890</v>
      </c>
      <c r="N64" s="13" t="s">
        <v>91</v>
      </c>
    </row>
    <row r="65" spans="1:14" x14ac:dyDescent="0.3">
      <c r="A65" s="26" t="s">
        <v>92</v>
      </c>
      <c r="B65" s="13" t="s">
        <v>129</v>
      </c>
      <c r="C65" s="34" t="s">
        <v>94</v>
      </c>
      <c r="D65" s="34" t="s">
        <v>94</v>
      </c>
      <c r="E65" s="34" t="s">
        <v>94</v>
      </c>
      <c r="F65" s="34" t="s">
        <v>94</v>
      </c>
      <c r="G65" s="27">
        <v>7102</v>
      </c>
      <c r="H65" s="27">
        <v>7174</v>
      </c>
      <c r="I65" s="27">
        <v>7076</v>
      </c>
      <c r="J65" s="27">
        <v>7034</v>
      </c>
      <c r="K65" s="27">
        <v>7021</v>
      </c>
      <c r="L65" s="27">
        <v>7177</v>
      </c>
      <c r="M65" s="27">
        <v>7126</v>
      </c>
      <c r="N65" s="13" t="s">
        <v>91</v>
      </c>
    </row>
    <row r="66" spans="1:14" x14ac:dyDescent="0.3">
      <c r="A66" s="26" t="s">
        <v>95</v>
      </c>
      <c r="B66" s="13" t="s">
        <v>96</v>
      </c>
      <c r="C66" s="27">
        <v>33897</v>
      </c>
      <c r="D66" s="27">
        <v>36505</v>
      </c>
      <c r="E66" s="27">
        <v>37197</v>
      </c>
      <c r="F66" s="27">
        <v>38118</v>
      </c>
      <c r="G66" s="27">
        <v>45256</v>
      </c>
      <c r="H66" s="27">
        <v>48662</v>
      </c>
      <c r="I66" s="27">
        <v>49086</v>
      </c>
      <c r="J66" s="27">
        <v>49623</v>
      </c>
      <c r="K66" s="27">
        <v>50505</v>
      </c>
      <c r="L66" s="27">
        <v>52616</v>
      </c>
      <c r="M66" s="27">
        <v>49953</v>
      </c>
      <c r="N66" s="13" t="s">
        <v>91</v>
      </c>
    </row>
    <row r="67" spans="1:14" x14ac:dyDescent="0.3">
      <c r="A67" s="26" t="s">
        <v>109</v>
      </c>
      <c r="B67" s="13" t="s">
        <v>110</v>
      </c>
      <c r="C67" s="27">
        <v>1272</v>
      </c>
      <c r="D67" s="27">
        <v>1291</v>
      </c>
      <c r="E67" s="27">
        <v>1248</v>
      </c>
      <c r="F67" s="27">
        <v>1277</v>
      </c>
      <c r="G67" s="27">
        <v>1380</v>
      </c>
      <c r="H67" s="27">
        <v>1373</v>
      </c>
      <c r="I67" s="27">
        <v>1570</v>
      </c>
      <c r="J67" s="27">
        <v>2196</v>
      </c>
      <c r="K67" s="27">
        <v>2309</v>
      </c>
      <c r="L67" s="27">
        <v>2404</v>
      </c>
      <c r="M67" s="27">
        <v>2553</v>
      </c>
      <c r="N67" s="13" t="s">
        <v>91</v>
      </c>
    </row>
    <row r="69" spans="1:14" ht="19.95" customHeight="1" x14ac:dyDescent="0.3">
      <c r="A69" s="80" t="s">
        <v>130</v>
      </c>
      <c r="B69" s="81"/>
      <c r="C69" s="81"/>
      <c r="D69" s="81"/>
      <c r="E69" s="81"/>
      <c r="F69" s="81"/>
      <c r="G69" s="81"/>
      <c r="H69" s="81"/>
      <c r="I69" s="81"/>
      <c r="J69" s="81"/>
      <c r="K69" s="81"/>
      <c r="L69" s="81"/>
      <c r="M69" s="81"/>
      <c r="N69" s="81"/>
    </row>
    <row r="70" spans="1:14" x14ac:dyDescent="0.3">
      <c r="A70" s="24" t="s">
        <v>56</v>
      </c>
      <c r="B70" s="13" t="s">
        <v>131</v>
      </c>
      <c r="C70" s="25">
        <v>42400</v>
      </c>
      <c r="D70" s="25">
        <v>42766</v>
      </c>
      <c r="E70" s="25">
        <v>43131</v>
      </c>
      <c r="F70" s="25">
        <v>43496</v>
      </c>
      <c r="G70" s="25">
        <v>43861</v>
      </c>
      <c r="H70" s="25">
        <v>44227</v>
      </c>
      <c r="I70" s="25">
        <v>44592</v>
      </c>
      <c r="J70" s="25">
        <v>44957</v>
      </c>
      <c r="K70" s="25">
        <v>45322</v>
      </c>
      <c r="L70" s="25">
        <v>45688</v>
      </c>
      <c r="M70" s="25">
        <v>46053</v>
      </c>
    </row>
    <row r="71" spans="1:14" x14ac:dyDescent="0.3">
      <c r="A71" s="26" t="s">
        <v>58</v>
      </c>
      <c r="B71" s="13" t="s">
        <v>101</v>
      </c>
      <c r="C71" s="27">
        <v>56828</v>
      </c>
      <c r="D71" s="27">
        <v>57365</v>
      </c>
      <c r="E71" s="27">
        <v>59216</v>
      </c>
      <c r="F71" s="27">
        <v>57839</v>
      </c>
      <c r="G71" s="27">
        <v>58792</v>
      </c>
      <c r="H71" s="27">
        <v>63910</v>
      </c>
      <c r="I71" s="27">
        <v>73556</v>
      </c>
      <c r="J71" s="27">
        <v>84345</v>
      </c>
      <c r="K71" s="27">
        <v>86179</v>
      </c>
      <c r="L71" s="27">
        <v>90238</v>
      </c>
      <c r="M71" s="27">
        <v>93015</v>
      </c>
      <c r="N71" s="13" t="s">
        <v>132</v>
      </c>
    </row>
    <row r="72" spans="1:14" x14ac:dyDescent="0.3">
      <c r="A72" s="26" t="s">
        <v>61</v>
      </c>
      <c r="B72" s="13" t="s">
        <v>133</v>
      </c>
      <c r="C72" s="34" t="s">
        <v>94</v>
      </c>
      <c r="D72" s="34" t="s">
        <v>94</v>
      </c>
      <c r="E72" s="34" t="s">
        <v>94</v>
      </c>
      <c r="F72" s="34" t="s">
        <v>94</v>
      </c>
      <c r="G72" s="34" t="s">
        <v>94</v>
      </c>
      <c r="H72" s="34" t="s">
        <v>94</v>
      </c>
      <c r="I72" s="34" t="s">
        <v>94</v>
      </c>
      <c r="J72" s="27">
        <v>75584</v>
      </c>
      <c r="K72" s="27">
        <v>76748</v>
      </c>
      <c r="L72" s="27">
        <v>80035</v>
      </c>
      <c r="M72" s="27">
        <v>82459</v>
      </c>
      <c r="N72" s="13" t="s">
        <v>134</v>
      </c>
    </row>
    <row r="73" spans="1:14" x14ac:dyDescent="0.3">
      <c r="A73" s="26" t="s">
        <v>63</v>
      </c>
      <c r="B73" s="13" t="s">
        <v>135</v>
      </c>
      <c r="C73" s="34" t="s">
        <v>94</v>
      </c>
      <c r="D73" s="34" t="s">
        <v>94</v>
      </c>
      <c r="E73" s="34" t="s">
        <v>94</v>
      </c>
      <c r="F73" s="34" t="s">
        <v>94</v>
      </c>
      <c r="G73" s="34" t="s">
        <v>94</v>
      </c>
      <c r="H73" s="34" t="s">
        <v>94</v>
      </c>
      <c r="I73" s="34" t="s">
        <v>94</v>
      </c>
      <c r="J73" s="34" t="s">
        <v>94</v>
      </c>
      <c r="K73" s="34" t="s">
        <v>94</v>
      </c>
      <c r="L73" s="34" t="s">
        <v>94</v>
      </c>
      <c r="M73" s="34" t="s">
        <v>94</v>
      </c>
      <c r="N73" s="13" t="s">
        <v>136</v>
      </c>
    </row>
    <row r="74" spans="1:14" x14ac:dyDescent="0.3">
      <c r="A74" s="26" t="s">
        <v>66</v>
      </c>
      <c r="B74" s="13" t="s">
        <v>135</v>
      </c>
      <c r="C74" s="34" t="s">
        <v>94</v>
      </c>
      <c r="D74" s="34" t="s">
        <v>94</v>
      </c>
      <c r="E74" s="34" t="s">
        <v>94</v>
      </c>
      <c r="F74" s="34" t="s">
        <v>94</v>
      </c>
      <c r="G74" s="34" t="s">
        <v>94</v>
      </c>
      <c r="H74" s="34" t="s">
        <v>94</v>
      </c>
      <c r="I74" s="34" t="s">
        <v>94</v>
      </c>
      <c r="J74" s="34" t="s">
        <v>94</v>
      </c>
      <c r="K74" s="34" t="s">
        <v>94</v>
      </c>
      <c r="L74" s="34" t="s">
        <v>94</v>
      </c>
      <c r="M74" s="34" t="s">
        <v>94</v>
      </c>
      <c r="N74" s="13" t="s">
        <v>137</v>
      </c>
    </row>
    <row r="75" spans="1:14" x14ac:dyDescent="0.3">
      <c r="A75" s="26" t="s">
        <v>68</v>
      </c>
      <c r="B75" s="13" t="s">
        <v>135</v>
      </c>
      <c r="C75" s="34" t="s">
        <v>94</v>
      </c>
      <c r="D75" s="34" t="s">
        <v>94</v>
      </c>
      <c r="E75" s="34" t="s">
        <v>94</v>
      </c>
      <c r="F75" s="34" t="s">
        <v>94</v>
      </c>
      <c r="G75" s="34" t="s">
        <v>94</v>
      </c>
      <c r="H75" s="34" t="s">
        <v>94</v>
      </c>
      <c r="I75" s="34" t="s">
        <v>94</v>
      </c>
      <c r="J75" s="34" t="s">
        <v>94</v>
      </c>
      <c r="K75" s="34" t="s">
        <v>94</v>
      </c>
      <c r="L75" s="34" t="s">
        <v>94</v>
      </c>
      <c r="M75" s="34" t="s">
        <v>94</v>
      </c>
      <c r="N75" s="13" t="s">
        <v>137</v>
      </c>
    </row>
    <row r="76" spans="1:14" x14ac:dyDescent="0.3">
      <c r="A76" s="26" t="s">
        <v>70</v>
      </c>
      <c r="B76" s="13" t="s">
        <v>135</v>
      </c>
      <c r="C76" s="34" t="s">
        <v>94</v>
      </c>
      <c r="D76" s="34" t="s">
        <v>94</v>
      </c>
      <c r="E76" s="34" t="s">
        <v>94</v>
      </c>
      <c r="F76" s="34" t="s">
        <v>94</v>
      </c>
      <c r="G76" s="34" t="s">
        <v>94</v>
      </c>
      <c r="H76" s="34" t="s">
        <v>94</v>
      </c>
      <c r="I76" s="34" t="s">
        <v>94</v>
      </c>
      <c r="J76" s="34" t="s">
        <v>94</v>
      </c>
      <c r="K76" s="34" t="s">
        <v>94</v>
      </c>
      <c r="L76" s="34" t="s">
        <v>94</v>
      </c>
      <c r="M76" s="34" t="s">
        <v>94</v>
      </c>
      <c r="N76" s="13" t="s">
        <v>137</v>
      </c>
    </row>
    <row r="77" spans="1:14" x14ac:dyDescent="0.3">
      <c r="A77" s="28" t="s">
        <v>73</v>
      </c>
      <c r="B77" s="29" t="s">
        <v>74</v>
      </c>
      <c r="C77" s="38" t="s">
        <v>94</v>
      </c>
      <c r="D77" s="38" t="s">
        <v>94</v>
      </c>
      <c r="E77" s="38" t="s">
        <v>94</v>
      </c>
      <c r="F77" s="38" t="s">
        <v>94</v>
      </c>
      <c r="G77" s="38" t="s">
        <v>94</v>
      </c>
      <c r="H77" s="38" t="s">
        <v>94</v>
      </c>
      <c r="I77" s="38" t="s">
        <v>94</v>
      </c>
      <c r="J77" s="38" t="s">
        <v>94</v>
      </c>
      <c r="K77" s="38" t="s">
        <v>94</v>
      </c>
      <c r="L77" s="38" t="s">
        <v>94</v>
      </c>
      <c r="M77" s="38" t="s">
        <v>94</v>
      </c>
      <c r="N77" s="13" t="s">
        <v>138</v>
      </c>
    </row>
    <row r="78" spans="1:14" x14ac:dyDescent="0.3">
      <c r="A78" s="26" t="s">
        <v>89</v>
      </c>
      <c r="B78" s="13" t="s">
        <v>139</v>
      </c>
      <c r="C78" s="27">
        <v>1820</v>
      </c>
      <c r="D78" s="27">
        <v>1628</v>
      </c>
      <c r="E78" s="27">
        <v>915</v>
      </c>
      <c r="F78" s="27">
        <v>1520</v>
      </c>
      <c r="G78" s="27">
        <v>1642</v>
      </c>
      <c r="H78" s="27">
        <v>1906</v>
      </c>
      <c r="I78" s="27">
        <v>2259</v>
      </c>
      <c r="J78" s="27">
        <v>1964</v>
      </c>
      <c r="K78" s="27">
        <v>2192</v>
      </c>
      <c r="L78" s="27">
        <v>2404</v>
      </c>
      <c r="M78" s="27">
        <v>2442</v>
      </c>
      <c r="N78" s="13" t="s">
        <v>91</v>
      </c>
    </row>
    <row r="79" spans="1:14" x14ac:dyDescent="0.3">
      <c r="A79" s="26" t="s">
        <v>95</v>
      </c>
      <c r="B79" s="13" t="s">
        <v>140</v>
      </c>
      <c r="C79" s="27">
        <v>13998</v>
      </c>
      <c r="D79" s="27">
        <v>14125</v>
      </c>
      <c r="E79" s="27">
        <v>13418</v>
      </c>
      <c r="F79" s="27">
        <v>12893</v>
      </c>
      <c r="G79" s="27">
        <v>13494</v>
      </c>
      <c r="H79" s="27">
        <v>13415</v>
      </c>
      <c r="I79" s="27">
        <v>14678</v>
      </c>
      <c r="J79" s="27">
        <v>15490</v>
      </c>
      <c r="K79" s="27">
        <v>15682</v>
      </c>
      <c r="L79" s="27">
        <v>16862</v>
      </c>
      <c r="M79" s="27">
        <v>17186</v>
      </c>
      <c r="N79" s="13" t="s">
        <v>91</v>
      </c>
    </row>
    <row r="81" spans="1:14" ht="19.95" customHeight="1" x14ac:dyDescent="0.3">
      <c r="A81" s="80" t="s">
        <v>141</v>
      </c>
      <c r="B81" s="81"/>
      <c r="C81" s="81"/>
      <c r="D81" s="81"/>
      <c r="E81" s="81"/>
      <c r="F81" s="81"/>
      <c r="G81" s="81"/>
      <c r="H81" s="81"/>
      <c r="I81" s="81"/>
      <c r="J81" s="81"/>
      <c r="K81" s="81"/>
      <c r="L81" s="81"/>
      <c r="M81" s="81"/>
      <c r="N81" s="81"/>
    </row>
    <row r="82" spans="1:14" x14ac:dyDescent="0.3">
      <c r="A82" s="24" t="s">
        <v>56</v>
      </c>
      <c r="B82" s="13" t="s">
        <v>142</v>
      </c>
      <c r="C82" s="25">
        <v>42274</v>
      </c>
      <c r="D82" s="25">
        <v>42638</v>
      </c>
      <c r="E82" s="25">
        <v>43002</v>
      </c>
      <c r="F82" s="25"/>
      <c r="G82" s="25"/>
      <c r="H82" s="25"/>
      <c r="I82" s="25"/>
      <c r="J82" s="25"/>
      <c r="K82" s="25"/>
      <c r="L82" s="25"/>
      <c r="M82" s="25"/>
    </row>
    <row r="83" spans="1:14" x14ac:dyDescent="0.3">
      <c r="A83" s="26" t="s">
        <v>58</v>
      </c>
      <c r="B83" s="13" t="s">
        <v>143</v>
      </c>
      <c r="C83" s="27">
        <v>15389</v>
      </c>
      <c r="D83" s="27">
        <v>15724</v>
      </c>
      <c r="E83" s="27">
        <v>16030</v>
      </c>
      <c r="F83" s="34" t="s">
        <v>94</v>
      </c>
      <c r="G83" s="34" t="s">
        <v>94</v>
      </c>
      <c r="H83" s="34" t="s">
        <v>94</v>
      </c>
      <c r="I83" s="34" t="s">
        <v>94</v>
      </c>
      <c r="J83" s="34" t="s">
        <v>94</v>
      </c>
      <c r="K83" s="34" t="s">
        <v>94</v>
      </c>
      <c r="L83" s="34" t="s">
        <v>94</v>
      </c>
      <c r="M83" s="34" t="s">
        <v>94</v>
      </c>
      <c r="N83" s="13" t="s">
        <v>144</v>
      </c>
    </row>
    <row r="84" spans="1:14" x14ac:dyDescent="0.3">
      <c r="A84" s="26" t="s">
        <v>61</v>
      </c>
      <c r="B84" s="13" t="s">
        <v>145</v>
      </c>
      <c r="C84" s="35">
        <v>9973</v>
      </c>
      <c r="D84" s="35">
        <v>10313</v>
      </c>
      <c r="E84" s="35">
        <v>10633</v>
      </c>
      <c r="F84" s="34" t="s">
        <v>94</v>
      </c>
      <c r="G84" s="34" t="s">
        <v>94</v>
      </c>
      <c r="H84" s="34" t="s">
        <v>94</v>
      </c>
      <c r="I84" s="34" t="s">
        <v>94</v>
      </c>
      <c r="J84" s="34" t="s">
        <v>94</v>
      </c>
      <c r="K84" s="34" t="s">
        <v>94</v>
      </c>
      <c r="L84" s="34" t="s">
        <v>94</v>
      </c>
      <c r="M84" s="34" t="s">
        <v>94</v>
      </c>
      <c r="N84" s="13" t="s">
        <v>146</v>
      </c>
    </row>
    <row r="85" spans="1:14" x14ac:dyDescent="0.3">
      <c r="A85" s="26" t="s">
        <v>63</v>
      </c>
      <c r="B85" s="13" t="s">
        <v>64</v>
      </c>
      <c r="C85" s="27">
        <v>536</v>
      </c>
      <c r="D85" s="27">
        <v>507</v>
      </c>
      <c r="E85" s="27">
        <v>245</v>
      </c>
      <c r="F85" s="34" t="s">
        <v>94</v>
      </c>
      <c r="G85" s="34" t="s">
        <v>94</v>
      </c>
      <c r="H85" s="34" t="s">
        <v>94</v>
      </c>
      <c r="I85" s="34" t="s">
        <v>94</v>
      </c>
      <c r="J85" s="34" t="s">
        <v>94</v>
      </c>
      <c r="K85" s="34" t="s">
        <v>94</v>
      </c>
      <c r="L85" s="34" t="s">
        <v>94</v>
      </c>
      <c r="M85" s="34" t="s">
        <v>94</v>
      </c>
      <c r="N85" s="13" t="s">
        <v>147</v>
      </c>
    </row>
    <row r="86" spans="1:14" x14ac:dyDescent="0.3">
      <c r="A86" s="26" t="s">
        <v>66</v>
      </c>
      <c r="B86" s="13" t="s">
        <v>67</v>
      </c>
      <c r="C86" s="27">
        <v>1544</v>
      </c>
      <c r="D86" s="27">
        <v>1975</v>
      </c>
      <c r="E86" s="27">
        <v>2145</v>
      </c>
      <c r="F86" s="34" t="s">
        <v>94</v>
      </c>
      <c r="G86" s="34" t="s">
        <v>94</v>
      </c>
      <c r="H86" s="34" t="s">
        <v>94</v>
      </c>
      <c r="I86" s="34" t="s">
        <v>94</v>
      </c>
      <c r="J86" s="34" t="s">
        <v>94</v>
      </c>
      <c r="K86" s="34" t="s">
        <v>94</v>
      </c>
      <c r="L86" s="34" t="s">
        <v>94</v>
      </c>
      <c r="M86" s="34" t="s">
        <v>94</v>
      </c>
      <c r="N86" s="13" t="s">
        <v>144</v>
      </c>
    </row>
    <row r="87" spans="1:14" x14ac:dyDescent="0.3">
      <c r="A87" s="26" t="s">
        <v>68</v>
      </c>
      <c r="B87" s="13" t="s">
        <v>69</v>
      </c>
      <c r="C87" s="27">
        <v>1252</v>
      </c>
      <c r="D87" s="27">
        <v>1341</v>
      </c>
      <c r="E87" s="27">
        <v>1355</v>
      </c>
      <c r="F87" s="34" t="s">
        <v>94</v>
      </c>
      <c r="G87" s="34" t="s">
        <v>94</v>
      </c>
      <c r="H87" s="34" t="s">
        <v>94</v>
      </c>
      <c r="I87" s="34" t="s">
        <v>94</v>
      </c>
      <c r="J87" s="34" t="s">
        <v>94</v>
      </c>
      <c r="K87" s="34" t="s">
        <v>94</v>
      </c>
      <c r="L87" s="34" t="s">
        <v>94</v>
      </c>
      <c r="M87" s="34" t="s">
        <v>94</v>
      </c>
      <c r="N87" s="13" t="s">
        <v>144</v>
      </c>
    </row>
    <row r="88" spans="1:14" x14ac:dyDescent="0.3">
      <c r="A88" s="26" t="s">
        <v>70</v>
      </c>
      <c r="B88" s="13" t="s">
        <v>148</v>
      </c>
      <c r="C88" s="27">
        <v>3769</v>
      </c>
      <c r="D88" s="27">
        <v>3224</v>
      </c>
      <c r="E88" s="27">
        <v>3430</v>
      </c>
      <c r="F88" s="34" t="s">
        <v>94</v>
      </c>
      <c r="G88" s="34" t="s">
        <v>94</v>
      </c>
      <c r="H88" s="34" t="s">
        <v>94</v>
      </c>
      <c r="I88" s="34" t="s">
        <v>94</v>
      </c>
      <c r="J88" s="34" t="s">
        <v>94</v>
      </c>
      <c r="K88" s="34" t="s">
        <v>94</v>
      </c>
      <c r="L88" s="34" t="s">
        <v>94</v>
      </c>
      <c r="M88" s="34" t="s">
        <v>94</v>
      </c>
      <c r="N88" s="13" t="s">
        <v>144</v>
      </c>
    </row>
    <row r="89" spans="1:14" x14ac:dyDescent="0.3">
      <c r="A89" s="28" t="s">
        <v>73</v>
      </c>
      <c r="B89" s="29" t="s">
        <v>74</v>
      </c>
      <c r="C89" s="30">
        <f>IF(ISNUMBER(C93),SUM(C93,C94),0+IF(COUNT(C90,C91)&gt;0,SUM(C90,C91),IF(ISNUMBER(C92),C92,0)))</f>
        <v>65</v>
      </c>
      <c r="D89" s="30">
        <f>IF(ISNUMBER(D93),SUM(D93,D94),0+IF(COUNT(D90,D91)&gt;0,SUM(D90,D91),IF(ISNUMBER(D92),D92,0)))</f>
        <v>1051</v>
      </c>
      <c r="E89" s="30">
        <f>IF(ISNUMBER(E93),SUM(E93,E94),0+IF(COUNT(E90,E91)&gt;0,SUM(E90,E91),IF(ISNUMBER(E92),E92,0)))</f>
        <v>1083</v>
      </c>
      <c r="F89" s="38" t="s">
        <v>94</v>
      </c>
      <c r="G89" s="38" t="s">
        <v>94</v>
      </c>
      <c r="H89" s="38" t="s">
        <v>94</v>
      </c>
      <c r="I89" s="38" t="s">
        <v>94</v>
      </c>
      <c r="J89" s="38" t="s">
        <v>94</v>
      </c>
      <c r="K89" s="38" t="s">
        <v>94</v>
      </c>
      <c r="L89" s="38" t="s">
        <v>94</v>
      </c>
      <c r="M89" s="38" t="s">
        <v>94</v>
      </c>
      <c r="N89" s="13" t="s">
        <v>149</v>
      </c>
    </row>
    <row r="90" spans="1:14" x14ac:dyDescent="0.3">
      <c r="A90" s="31" t="s">
        <v>83</v>
      </c>
      <c r="B90" s="32" t="s">
        <v>150</v>
      </c>
      <c r="C90" s="33">
        <v>3</v>
      </c>
      <c r="D90" s="33">
        <v>3</v>
      </c>
      <c r="E90" s="36" t="s">
        <v>94</v>
      </c>
      <c r="F90" s="36" t="s">
        <v>94</v>
      </c>
      <c r="G90" s="36" t="s">
        <v>94</v>
      </c>
      <c r="H90" s="36" t="s">
        <v>94</v>
      </c>
      <c r="I90" s="36" t="s">
        <v>94</v>
      </c>
      <c r="J90" s="36" t="s">
        <v>94</v>
      </c>
      <c r="K90" s="36" t="s">
        <v>94</v>
      </c>
      <c r="L90" s="36" t="s">
        <v>94</v>
      </c>
      <c r="M90" s="36" t="s">
        <v>94</v>
      </c>
      <c r="N90" s="13" t="s">
        <v>78</v>
      </c>
    </row>
    <row r="91" spans="1:14" x14ac:dyDescent="0.3">
      <c r="A91" s="31" t="s">
        <v>85</v>
      </c>
      <c r="B91" s="32" t="s">
        <v>151</v>
      </c>
      <c r="C91" s="33">
        <v>62</v>
      </c>
      <c r="D91" s="33">
        <v>1048</v>
      </c>
      <c r="E91" s="36" t="s">
        <v>94</v>
      </c>
      <c r="F91" s="36" t="s">
        <v>94</v>
      </c>
      <c r="G91" s="36" t="s">
        <v>94</v>
      </c>
      <c r="H91" s="36" t="s">
        <v>94</v>
      </c>
      <c r="I91" s="36" t="s">
        <v>94</v>
      </c>
      <c r="J91" s="36" t="s">
        <v>94</v>
      </c>
      <c r="K91" s="36" t="s">
        <v>94</v>
      </c>
      <c r="L91" s="36" t="s">
        <v>94</v>
      </c>
      <c r="M91" s="36" t="s">
        <v>94</v>
      </c>
      <c r="N91" s="13" t="s">
        <v>78</v>
      </c>
    </row>
    <row r="92" spans="1:14" x14ac:dyDescent="0.3">
      <c r="A92" s="31" t="s">
        <v>87</v>
      </c>
      <c r="B92" s="32" t="s">
        <v>152</v>
      </c>
      <c r="C92" s="33">
        <v>65</v>
      </c>
      <c r="D92" s="33">
        <v>58</v>
      </c>
      <c r="E92" s="33">
        <v>90</v>
      </c>
      <c r="F92" s="36" t="s">
        <v>94</v>
      </c>
      <c r="G92" s="36" t="s">
        <v>94</v>
      </c>
      <c r="H92" s="36" t="s">
        <v>94</v>
      </c>
      <c r="I92" s="36" t="s">
        <v>94</v>
      </c>
      <c r="J92" s="36" t="s">
        <v>94</v>
      </c>
      <c r="K92" s="36" t="s">
        <v>94</v>
      </c>
      <c r="L92" s="36" t="s">
        <v>94</v>
      </c>
      <c r="M92" s="36" t="s">
        <v>94</v>
      </c>
      <c r="N92" s="13" t="s">
        <v>78</v>
      </c>
    </row>
    <row r="93" spans="1:14" x14ac:dyDescent="0.3">
      <c r="A93" s="31" t="s">
        <v>125</v>
      </c>
      <c r="B93" s="32" t="s">
        <v>126</v>
      </c>
      <c r="C93" s="33">
        <v>3</v>
      </c>
      <c r="D93" s="33">
        <v>3</v>
      </c>
      <c r="E93" s="33">
        <v>2</v>
      </c>
      <c r="F93" s="36" t="s">
        <v>94</v>
      </c>
      <c r="G93" s="36" t="s">
        <v>94</v>
      </c>
      <c r="H93" s="36" t="s">
        <v>94</v>
      </c>
      <c r="I93" s="36" t="s">
        <v>94</v>
      </c>
      <c r="J93" s="36" t="s">
        <v>94</v>
      </c>
      <c r="K93" s="36" t="s">
        <v>94</v>
      </c>
      <c r="L93" s="36" t="s">
        <v>94</v>
      </c>
      <c r="M93" s="36" t="s">
        <v>94</v>
      </c>
      <c r="N93" s="13" t="s">
        <v>78</v>
      </c>
    </row>
    <row r="94" spans="1:14" x14ac:dyDescent="0.3">
      <c r="A94" s="31" t="s">
        <v>127</v>
      </c>
      <c r="B94" s="32" t="s">
        <v>128</v>
      </c>
      <c r="C94" s="33">
        <v>62</v>
      </c>
      <c r="D94" s="33">
        <v>1048</v>
      </c>
      <c r="E94" s="33">
        <v>1081</v>
      </c>
      <c r="F94" s="36" t="s">
        <v>94</v>
      </c>
      <c r="G94" s="36" t="s">
        <v>94</v>
      </c>
      <c r="H94" s="36" t="s">
        <v>94</v>
      </c>
      <c r="I94" s="36" t="s">
        <v>94</v>
      </c>
      <c r="J94" s="36" t="s">
        <v>94</v>
      </c>
      <c r="K94" s="36" t="s">
        <v>94</v>
      </c>
      <c r="L94" s="36" t="s">
        <v>94</v>
      </c>
      <c r="M94" s="36" t="s">
        <v>94</v>
      </c>
      <c r="N94" s="13" t="s">
        <v>78</v>
      </c>
    </row>
    <row r="95" spans="1:14" x14ac:dyDescent="0.3">
      <c r="A95" s="26" t="s">
        <v>89</v>
      </c>
      <c r="B95" s="13" t="s">
        <v>90</v>
      </c>
      <c r="C95" s="27">
        <v>861</v>
      </c>
      <c r="D95" s="27">
        <v>857</v>
      </c>
      <c r="E95" s="27">
        <v>459</v>
      </c>
      <c r="F95" s="34" t="s">
        <v>94</v>
      </c>
      <c r="G95" s="34" t="s">
        <v>94</v>
      </c>
      <c r="H95" s="34" t="s">
        <v>94</v>
      </c>
      <c r="I95" s="34" t="s">
        <v>94</v>
      </c>
      <c r="J95" s="34" t="s">
        <v>94</v>
      </c>
      <c r="K95" s="34" t="s">
        <v>94</v>
      </c>
      <c r="L95" s="34" t="s">
        <v>94</v>
      </c>
      <c r="M95" s="34" t="s">
        <v>94</v>
      </c>
      <c r="N95" s="13" t="s">
        <v>91</v>
      </c>
    </row>
    <row r="96" spans="1:14" x14ac:dyDescent="0.3">
      <c r="A96" s="26" t="s">
        <v>95</v>
      </c>
      <c r="B96" s="13" t="s">
        <v>96</v>
      </c>
      <c r="C96" s="27">
        <v>5741</v>
      </c>
      <c r="D96" s="27">
        <v>6341</v>
      </c>
      <c r="E96" s="27">
        <v>6676</v>
      </c>
      <c r="F96" s="34" t="s">
        <v>94</v>
      </c>
      <c r="G96" s="34" t="s">
        <v>94</v>
      </c>
      <c r="H96" s="34" t="s">
        <v>94</v>
      </c>
      <c r="I96" s="34" t="s">
        <v>94</v>
      </c>
      <c r="J96" s="34" t="s">
        <v>94</v>
      </c>
      <c r="K96" s="34" t="s">
        <v>94</v>
      </c>
      <c r="L96" s="34" t="s">
        <v>94</v>
      </c>
      <c r="M96" s="34" t="s">
        <v>94</v>
      </c>
      <c r="N96" s="13" t="s">
        <v>91</v>
      </c>
    </row>
    <row r="97" spans="1:14" x14ac:dyDescent="0.3">
      <c r="A97" s="26" t="s">
        <v>97</v>
      </c>
      <c r="B97" s="13" t="s">
        <v>98</v>
      </c>
      <c r="C97" s="27">
        <v>500</v>
      </c>
      <c r="D97" s="27">
        <v>517</v>
      </c>
      <c r="E97" s="27">
        <v>471</v>
      </c>
      <c r="F97" s="34" t="s">
        <v>94</v>
      </c>
      <c r="G97" s="34" t="s">
        <v>94</v>
      </c>
      <c r="H97" s="34" t="s">
        <v>94</v>
      </c>
      <c r="I97" s="34" t="s">
        <v>94</v>
      </c>
      <c r="J97" s="34" t="s">
        <v>94</v>
      </c>
      <c r="K97" s="34" t="s">
        <v>94</v>
      </c>
      <c r="L97" s="34" t="s">
        <v>94</v>
      </c>
      <c r="M97" s="34" t="s">
        <v>94</v>
      </c>
      <c r="N97" s="13" t="s">
        <v>91</v>
      </c>
    </row>
    <row r="98" spans="1:14" x14ac:dyDescent="0.3">
      <c r="A98" s="26" t="s">
        <v>109</v>
      </c>
      <c r="B98" s="13" t="s">
        <v>110</v>
      </c>
      <c r="C98" s="27">
        <v>49</v>
      </c>
      <c r="D98" s="27">
        <v>42</v>
      </c>
      <c r="E98" s="27">
        <v>47</v>
      </c>
      <c r="F98" s="34" t="s">
        <v>94</v>
      </c>
      <c r="G98" s="34" t="s">
        <v>94</v>
      </c>
      <c r="H98" s="34" t="s">
        <v>94</v>
      </c>
      <c r="I98" s="34" t="s">
        <v>94</v>
      </c>
      <c r="J98" s="34" t="s">
        <v>94</v>
      </c>
      <c r="K98" s="34" t="s">
        <v>94</v>
      </c>
      <c r="L98" s="34" t="s">
        <v>94</v>
      </c>
      <c r="M98" s="34" t="s">
        <v>94</v>
      </c>
      <c r="N98" s="13" t="s">
        <v>91</v>
      </c>
    </row>
    <row r="99" spans="1:14" x14ac:dyDescent="0.3">
      <c r="A99" s="26" t="s">
        <v>153</v>
      </c>
      <c r="B99" s="13" t="s">
        <v>154</v>
      </c>
      <c r="C99" s="34" t="s">
        <v>94</v>
      </c>
      <c r="D99" s="34" t="s">
        <v>94</v>
      </c>
      <c r="E99" s="34" t="s">
        <v>94</v>
      </c>
      <c r="F99" s="27">
        <v>17224</v>
      </c>
      <c r="G99" s="27">
        <v>17192</v>
      </c>
      <c r="H99" s="27">
        <v>16227</v>
      </c>
      <c r="I99" s="27">
        <v>17075</v>
      </c>
      <c r="J99" s="27">
        <v>18963</v>
      </c>
      <c r="K99" s="27">
        <v>20030</v>
      </c>
      <c r="L99" s="27">
        <v>21215</v>
      </c>
      <c r="M99" s="27">
        <v>22561</v>
      </c>
      <c r="N99" s="13" t="s">
        <v>155</v>
      </c>
    </row>
    <row r="101" spans="1:14" ht="19.95" customHeight="1" x14ac:dyDescent="0.3">
      <c r="A101" s="82" t="s">
        <v>156</v>
      </c>
      <c r="B101" s="83"/>
      <c r="C101" s="83"/>
      <c r="D101" s="83"/>
      <c r="E101" s="83"/>
      <c r="F101" s="83"/>
      <c r="G101" s="83"/>
      <c r="H101" s="83"/>
      <c r="I101" s="83"/>
      <c r="J101" s="83"/>
      <c r="K101" s="83"/>
      <c r="L101" s="83"/>
      <c r="M101" s="83"/>
      <c r="N101" s="83"/>
    </row>
    <row r="102" spans="1:14" x14ac:dyDescent="0.3">
      <c r="A102" s="39" t="s">
        <v>157</v>
      </c>
      <c r="B102" s="40" t="s">
        <v>158</v>
      </c>
      <c r="C102" s="40" t="s">
        <v>159</v>
      </c>
      <c r="D102" s="40" t="s">
        <v>160</v>
      </c>
      <c r="E102" s="40" t="s">
        <v>161</v>
      </c>
      <c r="F102" s="40" t="s">
        <v>162</v>
      </c>
    </row>
    <row r="103" spans="1:14" x14ac:dyDescent="0.3">
      <c r="A103" s="41" t="s">
        <v>163</v>
      </c>
      <c r="B103" s="42" t="s">
        <v>164</v>
      </c>
      <c r="C103" s="43">
        <v>2024</v>
      </c>
      <c r="D103" s="44">
        <v>10502</v>
      </c>
      <c r="E103" s="42" t="s">
        <v>165</v>
      </c>
      <c r="F103" s="45" t="s">
        <v>166</v>
      </c>
    </row>
    <row r="104" spans="1:14" x14ac:dyDescent="0.3">
      <c r="A104" s="41" t="s">
        <v>167</v>
      </c>
      <c r="B104" s="42" t="s">
        <v>168</v>
      </c>
      <c r="C104" s="43">
        <v>2024</v>
      </c>
      <c r="D104" s="44">
        <v>4156</v>
      </c>
      <c r="E104" s="42" t="s">
        <v>165</v>
      </c>
      <c r="F104" s="45" t="s">
        <v>166</v>
      </c>
    </row>
    <row r="105" spans="1:14" x14ac:dyDescent="0.3">
      <c r="A105" s="41" t="s">
        <v>167</v>
      </c>
      <c r="B105" s="42" t="s">
        <v>168</v>
      </c>
      <c r="C105" s="43">
        <v>2025</v>
      </c>
      <c r="D105" s="44">
        <v>2699</v>
      </c>
      <c r="E105" s="42" t="s">
        <v>165</v>
      </c>
      <c r="F105" s="45" t="s">
        <v>166</v>
      </c>
    </row>
    <row r="106" spans="1:14" x14ac:dyDescent="0.3">
      <c r="A106" s="41" t="s">
        <v>169</v>
      </c>
      <c r="B106" s="42" t="s">
        <v>170</v>
      </c>
      <c r="C106" s="43">
        <v>2025</v>
      </c>
      <c r="D106" s="44">
        <v>2684</v>
      </c>
      <c r="E106" s="42" t="s">
        <v>165</v>
      </c>
      <c r="F106" s="45" t="s">
        <v>166</v>
      </c>
    </row>
    <row r="107" spans="1:14" x14ac:dyDescent="0.3">
      <c r="A107" s="41" t="s">
        <v>171</v>
      </c>
      <c r="B107" s="42" t="s">
        <v>110</v>
      </c>
      <c r="C107" s="43">
        <v>2025</v>
      </c>
      <c r="D107" s="44">
        <v>2553</v>
      </c>
      <c r="E107" s="42" t="s">
        <v>165</v>
      </c>
      <c r="F107" s="45" t="s">
        <v>166</v>
      </c>
    </row>
    <row r="108" spans="1:14" x14ac:dyDescent="0.3">
      <c r="A108" s="41" t="s">
        <v>171</v>
      </c>
      <c r="B108" s="42" t="s">
        <v>110</v>
      </c>
      <c r="C108" s="43">
        <v>2016</v>
      </c>
      <c r="D108" s="44">
        <v>1291</v>
      </c>
      <c r="E108" s="42" t="s">
        <v>172</v>
      </c>
      <c r="F108" s="45" t="s">
        <v>173</v>
      </c>
    </row>
    <row r="109" spans="1:14" x14ac:dyDescent="0.3">
      <c r="A109" s="41" t="s">
        <v>174</v>
      </c>
      <c r="B109" s="42" t="s">
        <v>175</v>
      </c>
      <c r="C109" s="43">
        <v>2025</v>
      </c>
      <c r="D109" s="44">
        <v>6270</v>
      </c>
      <c r="E109" s="42" t="s">
        <v>176</v>
      </c>
      <c r="F109" s="45" t="s">
        <v>177</v>
      </c>
    </row>
    <row r="110" spans="1:14" x14ac:dyDescent="0.3">
      <c r="A110" s="41" t="s">
        <v>178</v>
      </c>
      <c r="B110" s="42" t="s">
        <v>179</v>
      </c>
      <c r="C110" s="43">
        <v>2025</v>
      </c>
      <c r="D110" s="44">
        <v>5323</v>
      </c>
      <c r="E110" s="42" t="s">
        <v>180</v>
      </c>
      <c r="F110" s="45" t="s">
        <v>181</v>
      </c>
    </row>
    <row r="112" spans="1:14" x14ac:dyDescent="0.3">
      <c r="A112" s="13" t="s">
        <v>182</v>
      </c>
    </row>
  </sheetData>
  <mergeCells count="6">
    <mergeCell ref="A6:N6"/>
    <mergeCell ref="A69:N69"/>
    <mergeCell ref="A48:N48"/>
    <mergeCell ref="A26:N26"/>
    <mergeCell ref="A101:N101"/>
    <mergeCell ref="A81:N81"/>
  </mergeCells>
  <printOptions horizontalCentered="1"/>
  <pageMargins left="0.75" right="0.75" top="1" bottom="1" header="0.5" footer="0.5"/>
  <pageSetup fitToHeight="0" orientation="landscape"/>
  <headerFooter>
    <oddFooter>&amp;CCompetitor Scorecard – Ryan Barry – &amp;D&amp;RPage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N56"/>
  <sheetViews>
    <sheetView workbookViewId="0">
      <pane xSplit="1" ySplit="4" topLeftCell="B5" activePane="bottomRight" state="frozen"/>
      <selection pane="topRight"/>
      <selection pane="bottomLeft"/>
      <selection pane="bottomRight"/>
    </sheetView>
  </sheetViews>
  <sheetFormatPr defaultRowHeight="14.4" x14ac:dyDescent="0.3"/>
  <cols>
    <col min="1" max="1" width="30" customWidth="1"/>
    <col min="2" max="11" width="10.44140625" customWidth="1"/>
    <col min="12" max="13" width="13" customWidth="1"/>
    <col min="14" max="14" width="60" customWidth="1"/>
  </cols>
  <sheetData>
    <row r="1" spans="1:14" ht="13.95" customHeight="1" x14ac:dyDescent="0.3">
      <c r="A1" s="20" t="s">
        <v>183</v>
      </c>
      <c r="B1" s="1"/>
      <c r="C1" s="1"/>
      <c r="D1" s="1"/>
      <c r="E1" s="1"/>
      <c r="F1" s="1"/>
      <c r="G1" s="1"/>
      <c r="H1" s="1"/>
      <c r="I1" s="1"/>
      <c r="J1" s="1"/>
      <c r="K1" s="1"/>
      <c r="L1" s="1"/>
      <c r="M1" s="14" t="s">
        <v>36</v>
      </c>
    </row>
    <row r="2" spans="1:14" ht="31.95" customHeight="1" x14ac:dyDescent="0.3">
      <c r="A2" s="16" t="s">
        <v>25</v>
      </c>
      <c r="B2" s="15"/>
      <c r="C2" s="15"/>
      <c r="D2" s="15"/>
      <c r="E2" s="15"/>
      <c r="F2" s="15"/>
      <c r="G2" s="15"/>
      <c r="H2" s="15"/>
      <c r="I2" s="15"/>
      <c r="J2" s="15"/>
      <c r="K2" s="15"/>
      <c r="L2" s="15"/>
      <c r="M2" s="15"/>
    </row>
    <row r="3" spans="1:14" ht="18" customHeight="1" x14ac:dyDescent="0.3">
      <c r="A3" s="21" t="s">
        <v>184</v>
      </c>
    </row>
    <row r="4" spans="1:14" ht="22.05" customHeight="1" x14ac:dyDescent="0.3">
      <c r="A4" s="18" t="s">
        <v>185</v>
      </c>
      <c r="B4" s="23">
        <v>2016</v>
      </c>
      <c r="C4" s="23">
        <v>2017</v>
      </c>
      <c r="D4" s="23">
        <v>2018</v>
      </c>
      <c r="E4" s="23">
        <v>2019</v>
      </c>
      <c r="F4" s="23">
        <v>2020</v>
      </c>
      <c r="G4" s="23">
        <v>2021</v>
      </c>
      <c r="H4" s="23">
        <v>2022</v>
      </c>
      <c r="I4" s="23">
        <v>2023</v>
      </c>
      <c r="J4" s="23">
        <v>2024</v>
      </c>
      <c r="K4" s="23">
        <v>2025</v>
      </c>
      <c r="L4" s="22" t="s">
        <v>186</v>
      </c>
      <c r="M4" s="22" t="s">
        <v>187</v>
      </c>
      <c r="N4" s="18" t="s">
        <v>188</v>
      </c>
    </row>
    <row r="6" spans="1:14" ht="18" customHeight="1" x14ac:dyDescent="0.3">
      <c r="A6" s="84" t="s">
        <v>189</v>
      </c>
      <c r="B6" s="85"/>
      <c r="C6" s="85"/>
      <c r="D6" s="85"/>
      <c r="E6" s="85"/>
      <c r="F6" s="85"/>
      <c r="G6" s="85"/>
      <c r="H6" s="85"/>
      <c r="I6" s="85"/>
      <c r="J6" s="85"/>
      <c r="K6" s="85"/>
      <c r="L6" s="85"/>
      <c r="M6" s="85"/>
    </row>
    <row r="7" spans="1:14" x14ac:dyDescent="0.3">
      <c r="A7" s="26" t="s">
        <v>190</v>
      </c>
      <c r="B7" s="46">
        <f t="shared" ref="B7:K7" si="0">IFERROR((_xlfn.XLOOKUP(B$4,Years,Walmart_Revenue)-_xlfn.XLOOKUP(B$4,Years,Walmart_COGS))/_xlfn.XLOOKUP(B$4,Years,Walmart_Revenue),"n/a")</f>
        <v>0.24944267499381903</v>
      </c>
      <c r="C7" s="46">
        <f t="shared" si="0"/>
        <v>0.24682256167790528</v>
      </c>
      <c r="D7" s="46">
        <f t="shared" si="0"/>
        <v>0.24499489544979808</v>
      </c>
      <c r="E7" s="46">
        <f t="shared" si="0"/>
        <v>0.24103622438577799</v>
      </c>
      <c r="F7" s="46">
        <f t="shared" si="0"/>
        <v>0.24299348201565829</v>
      </c>
      <c r="G7" s="46">
        <f t="shared" si="0"/>
        <v>0.24440170353070476</v>
      </c>
      <c r="H7" s="46">
        <f t="shared" si="0"/>
        <v>0.23463353364769649</v>
      </c>
      <c r="I7" s="46">
        <f t="shared" si="0"/>
        <v>0.23729570504032604</v>
      </c>
      <c r="J7" s="46">
        <f t="shared" si="0"/>
        <v>0.24132813866676156</v>
      </c>
      <c r="K7" s="46">
        <f t="shared" si="0"/>
        <v>0.24209350620670911</v>
      </c>
      <c r="L7" s="47">
        <f>IFERROR(K7-B7,"n/a")</f>
        <v>-7.3491687871099221E-3</v>
      </c>
      <c r="M7" s="47">
        <f>IFERROR(I7-E7,"n/a")</f>
        <v>-3.7405193454519425E-3</v>
      </c>
      <c r="N7" s="13" t="str">
        <f ca="1">IFERROR((_xludf.XLOOKUP(K$4,Years,Walmart_Revenue)-_xludf.XLOOKUP(K$4,Years,Walmart_COGS))/_xludf.XLOOKUP(K$4,Years,Walmart_Revenue),"n/a")</f>
        <v>n/a</v>
      </c>
    </row>
    <row r="8" spans="1:14" x14ac:dyDescent="0.3">
      <c r="A8" s="26" t="s">
        <v>191</v>
      </c>
      <c r="B8" s="46">
        <f t="shared" ref="B8:K8" si="1">IFERROR((_xlfn.XLOOKUP(B$4,Years,Costco_Revenue)-_xlfn.XLOOKUP(B$4,Years,Costco_COGS))/_xlfn.XLOOKUP(B$4,Years,Costco_Revenue),"n/a")</f>
        <v>0.11348030980503648</v>
      </c>
      <c r="C8" s="46">
        <f t="shared" si="1"/>
        <v>0.11325809212820594</v>
      </c>
      <c r="D8" s="46">
        <f t="shared" si="1"/>
        <v>0.11039195573341809</v>
      </c>
      <c r="E8" s="46">
        <f t="shared" si="1"/>
        <v>0.11024365421055099</v>
      </c>
      <c r="F8" s="46">
        <f t="shared" si="1"/>
        <v>0.11200220561205734</v>
      </c>
      <c r="G8" s="46">
        <f t="shared" si="1"/>
        <v>0.11126153333472184</v>
      </c>
      <c r="H8" s="46">
        <f t="shared" si="1"/>
        <v>0.10482647151259372</v>
      </c>
      <c r="I8" s="46">
        <f t="shared" si="1"/>
        <v>0.1056918093475243</v>
      </c>
      <c r="J8" s="46">
        <f t="shared" si="1"/>
        <v>0.10923184777165748</v>
      </c>
      <c r="K8" s="46">
        <f t="shared" si="1"/>
        <v>0.11124366460179615</v>
      </c>
      <c r="L8" s="47">
        <f>IFERROR(K8-B8,"n/a")</f>
        <v>-2.2366452032403367E-3</v>
      </c>
      <c r="M8" s="47">
        <f>IFERROR(I8-E8,"n/a")</f>
        <v>-4.5518448630266911E-3</v>
      </c>
      <c r="N8" s="13" t="str">
        <f ca="1">IFERROR((_xludf.XLOOKUP(K$4,Years,Costco_Revenue)-_xludf.XLOOKUP(K$4,Years,Costco_COGS))/_xludf.XLOOKUP(K$4,Years,Costco_Revenue),"n/a")</f>
        <v>n/a</v>
      </c>
    </row>
    <row r="9" spans="1:14" x14ac:dyDescent="0.3">
      <c r="A9" s="26" t="s">
        <v>192</v>
      </c>
      <c r="B9" s="46">
        <f t="shared" ref="B9:K9" si="2">IFERROR((_xlfn.XLOOKUP(B$4,Years,Kroger_Revenue)-_xlfn.XLOOKUP(B$4,Years,Kroger_COGS))/_xlfn.XLOOKUP(B$4,Years,Kroger_Revenue),"n/a")</f>
        <v>0.22399576892064124</v>
      </c>
      <c r="C9" s="46">
        <f t="shared" si="2"/>
        <v>0.22281797534068787</v>
      </c>
      <c r="D9" s="46">
        <f t="shared" si="2"/>
        <v>0.21952040179890359</v>
      </c>
      <c r="E9" s="46">
        <f t="shared" si="2"/>
        <v>0.22072845624192466</v>
      </c>
      <c r="F9" s="46">
        <f t="shared" si="2"/>
        <v>0.23321861462059804</v>
      </c>
      <c r="G9" s="46">
        <f t="shared" si="2"/>
        <v>0.22009892086330934</v>
      </c>
      <c r="H9" s="46">
        <f t="shared" si="2"/>
        <v>0.21434256498806134</v>
      </c>
      <c r="I9" s="46">
        <f t="shared" si="2"/>
        <v>0.22236885076546764</v>
      </c>
      <c r="J9" s="46">
        <f t="shared" si="2"/>
        <v>0.22704131916831494</v>
      </c>
      <c r="K9" s="46">
        <f t="shared" si="2"/>
        <v>0.23300957722057408</v>
      </c>
      <c r="L9" s="47">
        <f>IFERROR(K9-B9,"n/a")</f>
        <v>9.0138082999328406E-3</v>
      </c>
      <c r="M9" s="47">
        <f>IFERROR(I9-E9,"n/a")</f>
        <v>1.6403945235429762E-3</v>
      </c>
      <c r="N9" s="13" t="str">
        <f ca="1">IFERROR((_xludf.XLOOKUP(K$4,Years,Kroger_Revenue)-_xludf.XLOOKUP(K$4,Years,Kroger_COGS))/_xludf.XLOOKUP(K$4,Years,Kroger_Revenue),"n/a")</f>
        <v>n/a</v>
      </c>
    </row>
    <row r="10" spans="1:14" x14ac:dyDescent="0.3">
      <c r="A10" s="26" t="s">
        <v>193</v>
      </c>
      <c r="B10" s="46" t="str">
        <f t="shared" ref="B10:K10" si="3">IFERROR((_xlfn.XLOOKUP(B$4,Years,SamsClub_Revenue)-_xlfn.XLOOKUP(B$4,Years,SamsClub_COGS))/_xlfn.XLOOKUP(B$4,Years,SamsClub_Revenue),"n/a")</f>
        <v>n/a</v>
      </c>
      <c r="C10" s="46" t="str">
        <f t="shared" si="3"/>
        <v>n/a</v>
      </c>
      <c r="D10" s="46" t="str">
        <f t="shared" si="3"/>
        <v>n/a</v>
      </c>
      <c r="E10" s="46" t="str">
        <f t="shared" si="3"/>
        <v>n/a</v>
      </c>
      <c r="F10" s="46" t="str">
        <f t="shared" si="3"/>
        <v>n/a</v>
      </c>
      <c r="G10" s="46" t="str">
        <f t="shared" si="3"/>
        <v>n/a</v>
      </c>
      <c r="H10" s="46">
        <f t="shared" si="3"/>
        <v>0.10387100598731401</v>
      </c>
      <c r="I10" s="46">
        <f t="shared" si="3"/>
        <v>0.1094350131702619</v>
      </c>
      <c r="J10" s="46">
        <f t="shared" si="3"/>
        <v>0.11306766550677098</v>
      </c>
      <c r="K10" s="46">
        <f t="shared" si="3"/>
        <v>0.11348707197763802</v>
      </c>
      <c r="L10" s="47" t="str">
        <f>IFERROR(K10-B10,"n/a")</f>
        <v>n/a</v>
      </c>
      <c r="M10" s="47" t="str">
        <f>IFERROR(I10-E10,"n/a")</f>
        <v>n/a</v>
      </c>
      <c r="N10" s="13" t="str">
        <f ca="1">IFERROR((_xludf.XLOOKUP(K$4,Years,SamsClub_Revenue)-_xludf.XLOOKUP(K$4,Years,SamsClub_COGS))/_xludf.XLOOKUP(K$4,Years,SamsClub_Revenue),"n/a")</f>
        <v>n/a</v>
      </c>
    </row>
    <row r="11" spans="1:14" x14ac:dyDescent="0.3">
      <c r="A11" s="26" t="s">
        <v>194</v>
      </c>
      <c r="B11" s="46">
        <f t="shared" ref="B11:K11" si="4">IFERROR((_xlfn.XLOOKUP(B$4,Years,WholeFoods_Revenue)-_xlfn.XLOOKUP(B$4,Years,WholeFoods_COGS))/_xlfn.XLOOKUP(B$4,Years,WholeFoods_Revenue),"n/a")</f>
        <v>0.34412363266344442</v>
      </c>
      <c r="C11" s="46">
        <f t="shared" si="4"/>
        <v>0.33668122270742357</v>
      </c>
      <c r="D11" s="46" t="str">
        <f t="shared" si="4"/>
        <v>n/a</v>
      </c>
      <c r="E11" s="46" t="str">
        <f t="shared" si="4"/>
        <v>n/a</v>
      </c>
      <c r="F11" s="46" t="str">
        <f t="shared" si="4"/>
        <v>n/a</v>
      </c>
      <c r="G11" s="46" t="str">
        <f t="shared" si="4"/>
        <v>n/a</v>
      </c>
      <c r="H11" s="46" t="str">
        <f t="shared" si="4"/>
        <v>n/a</v>
      </c>
      <c r="I11" s="46" t="str">
        <f t="shared" si="4"/>
        <v>n/a</v>
      </c>
      <c r="J11" s="46" t="str">
        <f t="shared" si="4"/>
        <v>n/a</v>
      </c>
      <c r="K11" s="46" t="str">
        <f t="shared" si="4"/>
        <v>n/a</v>
      </c>
      <c r="L11" s="47" t="str">
        <f>IFERROR(K11-B11,"n/a")</f>
        <v>n/a</v>
      </c>
      <c r="M11" s="47" t="str">
        <f>IFERROR(I11-E11,"n/a")</f>
        <v>n/a</v>
      </c>
      <c r="N11" s="13" t="str">
        <f ca="1">IFERROR((_xludf.XLOOKUP(K$4,Years,WholeFoods_Revenue)-_xludf.XLOOKUP(K$4,Years,WholeFoods_COGS))/_xludf.XLOOKUP(K$4,Years,WholeFoods_Revenue),"n/a")</f>
        <v>n/a</v>
      </c>
    </row>
    <row r="13" spans="1:14" ht="18" customHeight="1" x14ac:dyDescent="0.3">
      <c r="A13" s="84" t="s">
        <v>195</v>
      </c>
      <c r="B13" s="85"/>
      <c r="C13" s="85"/>
      <c r="D13" s="85"/>
      <c r="E13" s="85"/>
      <c r="F13" s="85"/>
      <c r="G13" s="85"/>
      <c r="H13" s="85"/>
      <c r="I13" s="85"/>
      <c r="J13" s="85"/>
      <c r="K13" s="85"/>
      <c r="L13" s="85"/>
      <c r="M13" s="85"/>
    </row>
    <row r="14" spans="1:14" x14ac:dyDescent="0.3">
      <c r="A14" s="26" t="s">
        <v>190</v>
      </c>
      <c r="B14" s="46">
        <f t="shared" ref="B14:K14" si="5">IFERROR(_xlfn.XLOOKUP(B$4,Years,Walmart_OperatingIncome)/_xlfn.XLOOKUP(B$4,Years,Walmart_Revenue),"n/a")</f>
        <v>4.7295233702528687E-2</v>
      </c>
      <c r="C14" s="46">
        <f t="shared" si="5"/>
        <v>4.1223492771718634E-2</v>
      </c>
      <c r="D14" s="46">
        <f t="shared" si="5"/>
        <v>4.3025185713529902E-2</v>
      </c>
      <c r="E14" s="46">
        <f t="shared" si="5"/>
        <v>3.9559475771552104E-2</v>
      </c>
      <c r="F14" s="46">
        <f t="shared" si="5"/>
        <v>4.0609978153315816E-2</v>
      </c>
      <c r="G14" s="46">
        <f t="shared" si="5"/>
        <v>4.5691680669012719E-2</v>
      </c>
      <c r="H14" s="46">
        <f t="shared" si="5"/>
        <v>3.3716191793437988E-2</v>
      </c>
      <c r="I14" s="46">
        <f t="shared" si="5"/>
        <v>4.2033060654770887E-2</v>
      </c>
      <c r="J14" s="46">
        <f t="shared" si="5"/>
        <v>4.3508297531050885E-2</v>
      </c>
      <c r="K14" s="46">
        <f t="shared" si="5"/>
        <v>4.222034418958881E-2</v>
      </c>
      <c r="L14" s="47">
        <f>IFERROR(K14-B14,"n/a")</f>
        <v>-5.0748895129398772E-3</v>
      </c>
      <c r="M14" s="47">
        <f>IFERROR(I14-E14,"n/a")</f>
        <v>2.4735848832187837E-3</v>
      </c>
      <c r="N14" s="13" t="str">
        <f ca="1">IFERROR(_xludf.XLOOKUP(K$4,Years,Walmart_OperatingIncome)/_xludf.XLOOKUP(K$4,Years,Walmart_Revenue),"n/a")</f>
        <v>n/a</v>
      </c>
    </row>
    <row r="15" spans="1:14" x14ac:dyDescent="0.3">
      <c r="A15" s="26" t="s">
        <v>191</v>
      </c>
      <c r="B15" s="46">
        <f t="shared" ref="B15:K15" si="6">IFERROR(_xlfn.XLOOKUP(B$4,Years,Costco_OperatingIncome)/_xlfn.XLOOKUP(B$4,Years,Costco_Revenue),"n/a")</f>
        <v>3.1635264014887185E-2</v>
      </c>
      <c r="C15" s="46">
        <f t="shared" si="6"/>
        <v>3.258250641980788E-2</v>
      </c>
      <c r="D15" s="46">
        <f t="shared" si="6"/>
        <v>3.2361991996185911E-2</v>
      </c>
      <c r="E15" s="46">
        <f t="shared" si="6"/>
        <v>3.1717229881286363E-2</v>
      </c>
      <c r="F15" s="46">
        <f t="shared" si="6"/>
        <v>3.3298615365763999E-2</v>
      </c>
      <c r="G15" s="46">
        <f t="shared" si="6"/>
        <v>3.492804032241268E-2</v>
      </c>
      <c r="H15" s="46">
        <f t="shared" si="6"/>
        <v>3.4988551160598035E-2</v>
      </c>
      <c r="I15" s="46">
        <f t="shared" si="6"/>
        <v>3.4134028858693363E-2</v>
      </c>
      <c r="J15" s="46">
        <f t="shared" si="6"/>
        <v>3.7195793690535807E-2</v>
      </c>
      <c r="K15" s="46">
        <f t="shared" si="6"/>
        <v>3.8468093304484426E-2</v>
      </c>
      <c r="L15" s="47">
        <f>IFERROR(K15-B15,"n/a")</f>
        <v>6.8328292895972406E-3</v>
      </c>
      <c r="M15" s="47">
        <f>IFERROR(I15-E15,"n/a")</f>
        <v>2.4167989774070003E-3</v>
      </c>
      <c r="N15" s="13" t="str">
        <f ca="1">IFERROR(_xludf.XLOOKUP(K$4,Years,Costco_OperatingIncome)/_xludf.XLOOKUP(K$4,Years,Costco_Revenue),"n/a")</f>
        <v>n/a</v>
      </c>
    </row>
    <row r="16" spans="1:14" x14ac:dyDescent="0.3">
      <c r="A16" s="26" t="s">
        <v>192</v>
      </c>
      <c r="B16" s="46">
        <f t="shared" ref="B16:K16" si="7">IFERROR(_xlfn.XLOOKUP(B$4,Years,Kroger_OperatingIncome)/_xlfn.XLOOKUP(B$4,Years,Kroger_Revenue),"n/a")</f>
        <v>2.9929684316394565E-2</v>
      </c>
      <c r="C16" s="46">
        <f t="shared" si="7"/>
        <v>2.1187540558079171E-2</v>
      </c>
      <c r="D16" s="46">
        <f t="shared" si="7"/>
        <v>2.1452253553491122E-2</v>
      </c>
      <c r="E16" s="46">
        <f t="shared" si="7"/>
        <v>1.8407667271805438E-2</v>
      </c>
      <c r="F16" s="46">
        <f t="shared" si="7"/>
        <v>2.0981448776585306E-2</v>
      </c>
      <c r="G16" s="46">
        <f t="shared" si="7"/>
        <v>2.5216117428637736E-2</v>
      </c>
      <c r="H16" s="46">
        <f t="shared" si="7"/>
        <v>2.7829864155728527E-2</v>
      </c>
      <c r="I16" s="46">
        <f t="shared" si="7"/>
        <v>2.0634634994901327E-2</v>
      </c>
      <c r="J16" s="46">
        <f t="shared" si="7"/>
        <v>2.6161782997899716E-2</v>
      </c>
      <c r="K16" s="46">
        <f t="shared" si="7"/>
        <v>1.2801235420815215E-2</v>
      </c>
      <c r="L16" s="47">
        <f>IFERROR(K16-B16,"n/a")</f>
        <v>-1.7128448895579351E-2</v>
      </c>
      <c r="M16" s="47">
        <f>IFERROR(I16-E16,"n/a")</f>
        <v>2.2269677230958886E-3</v>
      </c>
      <c r="N16" s="13" t="str">
        <f ca="1">IFERROR(_xludf.XLOOKUP(K$4,Years,Kroger_OperatingIncome)/_xludf.XLOOKUP(K$4,Years,Kroger_Revenue),"n/a")</f>
        <v>n/a</v>
      </c>
    </row>
    <row r="17" spans="1:14" x14ac:dyDescent="0.3">
      <c r="A17" s="26" t="s">
        <v>193</v>
      </c>
      <c r="B17" s="46">
        <f t="shared" ref="B17:K17" si="8">IFERROR(_xlfn.XLOOKUP(B$4,Years,SamsClub_OperatingIncome)/_xlfn.XLOOKUP(B$4,Years,SamsClub_Revenue),"n/a")</f>
        <v>2.8379674017257911E-2</v>
      </c>
      <c r="C17" s="46">
        <f t="shared" si="8"/>
        <v>1.5451904890570117E-2</v>
      </c>
      <c r="D17" s="46">
        <f t="shared" si="8"/>
        <v>2.6279845778799771E-2</v>
      </c>
      <c r="E17" s="46">
        <f t="shared" si="8"/>
        <v>2.7928969927881346E-2</v>
      </c>
      <c r="F17" s="46">
        <f t="shared" si="8"/>
        <v>2.9823188859333438E-2</v>
      </c>
      <c r="G17" s="46">
        <f t="shared" si="8"/>
        <v>3.0711294795801838E-2</v>
      </c>
      <c r="H17" s="46">
        <f t="shared" si="8"/>
        <v>2.3285316260596361E-2</v>
      </c>
      <c r="I17" s="46">
        <f t="shared" si="8"/>
        <v>2.5435430905441002E-2</v>
      </c>
      <c r="J17" s="46">
        <f t="shared" si="8"/>
        <v>2.6640661362175581E-2</v>
      </c>
      <c r="K17" s="46">
        <f t="shared" si="8"/>
        <v>2.6253830027414934E-2</v>
      </c>
      <c r="L17" s="47">
        <f>IFERROR(K17-B17,"n/a")</f>
        <v>-2.1258439898429772E-3</v>
      </c>
      <c r="M17" s="47">
        <f>IFERROR(I17-E17,"n/a")</f>
        <v>-2.4935390224403442E-3</v>
      </c>
      <c r="N17" s="13" t="str">
        <f ca="1">IFERROR(_xludf.XLOOKUP(K$4,Years,SamsClub_OperatingIncome)/_xludf.XLOOKUP(K$4,Years,SamsClub_Revenue),"n/a")</f>
        <v>n/a</v>
      </c>
    </row>
    <row r="18" spans="1:14" x14ac:dyDescent="0.3">
      <c r="A18" s="26" t="s">
        <v>194</v>
      </c>
      <c r="B18" s="46">
        <f t="shared" ref="B18:K18" si="9">IFERROR(_xlfn.XLOOKUP(B$4,Years,WholeFoods_OperatingIncome)/_xlfn.XLOOKUP(B$4,Years,WholeFoods_Revenue),"n/a")</f>
        <v>5.4502671076062069E-2</v>
      </c>
      <c r="C18" s="46">
        <f t="shared" si="9"/>
        <v>2.8633811603243919E-2</v>
      </c>
      <c r="D18" s="46" t="str">
        <f t="shared" si="9"/>
        <v>n/a</v>
      </c>
      <c r="E18" s="46" t="str">
        <f t="shared" si="9"/>
        <v>n/a</v>
      </c>
      <c r="F18" s="46" t="str">
        <f t="shared" si="9"/>
        <v>n/a</v>
      </c>
      <c r="G18" s="46" t="str">
        <f t="shared" si="9"/>
        <v>n/a</v>
      </c>
      <c r="H18" s="46" t="str">
        <f t="shared" si="9"/>
        <v>n/a</v>
      </c>
      <c r="I18" s="46" t="str">
        <f t="shared" si="9"/>
        <v>n/a</v>
      </c>
      <c r="J18" s="46" t="str">
        <f t="shared" si="9"/>
        <v>n/a</v>
      </c>
      <c r="K18" s="46" t="str">
        <f t="shared" si="9"/>
        <v>n/a</v>
      </c>
      <c r="L18" s="47" t="str">
        <f>IFERROR(K18-B18,"n/a")</f>
        <v>n/a</v>
      </c>
      <c r="M18" s="47" t="str">
        <f>IFERROR(I18-E18,"n/a")</f>
        <v>n/a</v>
      </c>
      <c r="N18" s="13" t="str">
        <f ca="1">IFERROR(_xludf.XLOOKUP(K$4,Years,WholeFoods_OperatingIncome)/_xludf.XLOOKUP(K$4,Years,WholeFoods_Revenue),"n/a")</f>
        <v>n/a</v>
      </c>
    </row>
    <row r="20" spans="1:14" ht="18" customHeight="1" x14ac:dyDescent="0.3">
      <c r="A20" s="84" t="s">
        <v>196</v>
      </c>
      <c r="B20" s="85"/>
      <c r="C20" s="85"/>
      <c r="D20" s="85"/>
      <c r="E20" s="85"/>
      <c r="F20" s="85"/>
      <c r="G20" s="85"/>
      <c r="H20" s="85"/>
      <c r="I20" s="85"/>
      <c r="J20" s="85"/>
      <c r="K20" s="85"/>
      <c r="L20" s="85"/>
      <c r="M20" s="85"/>
    </row>
    <row r="21" spans="1:14" x14ac:dyDescent="0.3">
      <c r="A21" s="26" t="s">
        <v>190</v>
      </c>
      <c r="B21" s="46">
        <f t="shared" ref="B21:K21" si="10">IFERROR(_xlfn.XLOOKUP(B$4,Years,Walmart_NetIncome)/_xlfn.XLOOKUP(B$4,Years,Walmart_Revenue),"n/a")</f>
        <v>2.8345144675961997E-2</v>
      </c>
      <c r="C21" s="46">
        <f t="shared" si="10"/>
        <v>1.989264988573123E-2</v>
      </c>
      <c r="D21" s="46">
        <f t="shared" si="10"/>
        <v>1.3069999941214393E-2</v>
      </c>
      <c r="E21" s="46">
        <f t="shared" si="10"/>
        <v>2.8621380734950744E-2</v>
      </c>
      <c r="F21" s="46">
        <f t="shared" si="10"/>
        <v>2.4332127233071522E-2</v>
      </c>
      <c r="G21" s="46">
        <f t="shared" si="10"/>
        <v>2.4082273910547024E-2</v>
      </c>
      <c r="H21" s="46">
        <f t="shared" si="10"/>
        <v>1.9277712950232801E-2</v>
      </c>
      <c r="I21" s="46">
        <f t="shared" si="10"/>
        <v>2.4136487628318944E-2</v>
      </c>
      <c r="J21" s="46">
        <f t="shared" si="10"/>
        <v>2.881379551633859E-2</v>
      </c>
      <c r="K21" s="46">
        <f t="shared" si="10"/>
        <v>3.0991785258765055E-2</v>
      </c>
      <c r="L21" s="47">
        <f>IFERROR(K21-B21,"n/a")</f>
        <v>2.646640582803058E-3</v>
      </c>
      <c r="M21" s="47">
        <f>IFERROR(I21-E21,"n/a")</f>
        <v>-4.4848931066318008E-3</v>
      </c>
      <c r="N21" s="13" t="str">
        <f ca="1">IFERROR(_xludf.XLOOKUP(K$4,Years,Walmart_NetIncome)/_xludf.XLOOKUP(K$4,Years,Walmart_Revenue),"n/a")</f>
        <v>n/a</v>
      </c>
    </row>
    <row r="22" spans="1:14" x14ac:dyDescent="0.3">
      <c r="A22" s="26" t="s">
        <v>191</v>
      </c>
      <c r="B22" s="46">
        <f t="shared" ref="B22:K22" si="11">IFERROR(_xlfn.XLOOKUP(B$4,Years,Costco_NetIncome)/_xlfn.XLOOKUP(B$4,Years,Costco_Revenue),"n/a")</f>
        <v>2.0245879748089564E-2</v>
      </c>
      <c r="C22" s="46">
        <f t="shared" si="11"/>
        <v>2.1232920140760232E-2</v>
      </c>
      <c r="D22" s="46">
        <f t="shared" si="11"/>
        <v>2.2638947079474697E-2</v>
      </c>
      <c r="E22" s="46">
        <f t="shared" si="11"/>
        <v>2.4499333784172853E-2</v>
      </c>
      <c r="F22" s="46">
        <f t="shared" si="11"/>
        <v>2.4519054037495405E-2</v>
      </c>
      <c r="G22" s="46">
        <f t="shared" si="11"/>
        <v>2.6071064086809821E-2</v>
      </c>
      <c r="H22" s="46">
        <f t="shared" si="11"/>
        <v>2.6238046064742063E-2</v>
      </c>
      <c r="I22" s="46">
        <f t="shared" si="11"/>
        <v>2.6469227209625173E-2</v>
      </c>
      <c r="J22" s="46">
        <f t="shared" si="11"/>
        <v>2.9512268402603906E-2</v>
      </c>
      <c r="K22" s="46">
        <f t="shared" si="11"/>
        <v>3.0006076054417737E-2</v>
      </c>
      <c r="L22" s="47">
        <f>IFERROR(K22-B22,"n/a")</f>
        <v>9.7601963063281734E-3</v>
      </c>
      <c r="M22" s="47">
        <f>IFERROR(I22-E22,"n/a")</f>
        <v>1.9698934254523195E-3</v>
      </c>
      <c r="N22" s="13" t="str">
        <f ca="1">IFERROR(_xludf.XLOOKUP(K$4,Years,Costco_NetIncome)/_xludf.XLOOKUP(K$4,Years,Costco_Revenue),"n/a")</f>
        <v>n/a</v>
      </c>
    </row>
    <row r="23" spans="1:14" x14ac:dyDescent="0.3">
      <c r="A23" s="26" t="s">
        <v>192</v>
      </c>
      <c r="B23" s="46">
        <f t="shared" ref="B23:K23" si="12">IFERROR(_xlfn.XLOOKUP(B$4,Years,Kroger_NetIncome)/_xlfn.XLOOKUP(B$4,Years,Kroger_Revenue),"n/a")</f>
        <v>1.7123733060509638E-2</v>
      </c>
      <c r="C23" s="46">
        <f t="shared" si="12"/>
        <v>1.5468851395197923E-2</v>
      </c>
      <c r="D23" s="46">
        <f t="shared" si="12"/>
        <v>2.552276532186587E-2</v>
      </c>
      <c r="E23" s="46">
        <f t="shared" si="12"/>
        <v>1.3566557087483441E-2</v>
      </c>
      <c r="F23" s="46">
        <f t="shared" si="12"/>
        <v>1.9509728448731303E-2</v>
      </c>
      <c r="G23" s="46">
        <f t="shared" si="12"/>
        <v>1.2002494778370851E-2</v>
      </c>
      <c r="H23" s="46">
        <f t="shared" si="12"/>
        <v>1.5135776821486868E-2</v>
      </c>
      <c r="I23" s="46">
        <f t="shared" si="12"/>
        <v>1.4422916708322502E-2</v>
      </c>
      <c r="J23" s="46">
        <f t="shared" si="12"/>
        <v>1.81140950089381E-2</v>
      </c>
      <c r="K23" s="46">
        <f t="shared" si="12"/>
        <v>6.8815106812424648E-3</v>
      </c>
      <c r="L23" s="47">
        <f>IFERROR(K23-B23,"n/a")</f>
        <v>-1.0242222379267172E-2</v>
      </c>
      <c r="M23" s="47">
        <f>IFERROR(I23-E23,"n/a")</f>
        <v>8.563596208390617E-4</v>
      </c>
      <c r="N23" s="13" t="str">
        <f ca="1">IFERROR(_xludf.XLOOKUP(K$4,Years,Kroger_NetIncome)/_xludf.XLOOKUP(K$4,Years,Kroger_Revenue),"n/a")</f>
        <v>n/a</v>
      </c>
    </row>
    <row r="24" spans="1:14" x14ac:dyDescent="0.3">
      <c r="A24" s="26" t="s">
        <v>193</v>
      </c>
      <c r="B24" s="46" t="str">
        <f t="shared" ref="B24:K24" si="13">IFERROR(_xlfn.XLOOKUP(B$4,Years,SamsClub_NetIncome)/_xlfn.XLOOKUP(B$4,Years,SamsClub_Revenue),"n/a")</f>
        <v>n/a</v>
      </c>
      <c r="C24" s="46" t="str">
        <f t="shared" si="13"/>
        <v>n/a</v>
      </c>
      <c r="D24" s="46" t="str">
        <f t="shared" si="13"/>
        <v>n/a</v>
      </c>
      <c r="E24" s="46" t="str">
        <f t="shared" si="13"/>
        <v>n/a</v>
      </c>
      <c r="F24" s="46" t="str">
        <f t="shared" si="13"/>
        <v>n/a</v>
      </c>
      <c r="G24" s="46" t="str">
        <f t="shared" si="13"/>
        <v>n/a</v>
      </c>
      <c r="H24" s="46" t="str">
        <f t="shared" si="13"/>
        <v>n/a</v>
      </c>
      <c r="I24" s="46" t="str">
        <f t="shared" si="13"/>
        <v>n/a</v>
      </c>
      <c r="J24" s="46" t="str">
        <f t="shared" si="13"/>
        <v>n/a</v>
      </c>
      <c r="K24" s="46" t="str">
        <f t="shared" si="13"/>
        <v>n/a</v>
      </c>
      <c r="L24" s="47" t="str">
        <f>IFERROR(K24-B24,"n/a")</f>
        <v>n/a</v>
      </c>
      <c r="M24" s="47" t="str">
        <f>IFERROR(I24-E24,"n/a")</f>
        <v>n/a</v>
      </c>
      <c r="N24" s="13" t="str">
        <f ca="1">IFERROR(_xludf.XLOOKUP(K$4,Years,SamsClub_NetIncome)/_xludf.XLOOKUP(K$4,Years,SamsClub_Revenue),"n/a")</f>
        <v>n/a</v>
      </c>
    </row>
    <row r="25" spans="1:14" x14ac:dyDescent="0.3">
      <c r="A25" s="26" t="s">
        <v>194</v>
      </c>
      <c r="B25" s="46">
        <f t="shared" ref="B25:K25" si="14">IFERROR(_xlfn.XLOOKUP(B$4,Years,WholeFoods_NetIncome)/_xlfn.XLOOKUP(B$4,Years,WholeFoods_Revenue),"n/a")</f>
        <v>3.2243703892139403E-2</v>
      </c>
      <c r="C25" s="46">
        <f t="shared" si="14"/>
        <v>1.5283842794759825E-2</v>
      </c>
      <c r="D25" s="46" t="str">
        <f t="shared" si="14"/>
        <v>n/a</v>
      </c>
      <c r="E25" s="46" t="str">
        <f t="shared" si="14"/>
        <v>n/a</v>
      </c>
      <c r="F25" s="46" t="str">
        <f t="shared" si="14"/>
        <v>n/a</v>
      </c>
      <c r="G25" s="46" t="str">
        <f t="shared" si="14"/>
        <v>n/a</v>
      </c>
      <c r="H25" s="46" t="str">
        <f t="shared" si="14"/>
        <v>n/a</v>
      </c>
      <c r="I25" s="46" t="str">
        <f t="shared" si="14"/>
        <v>n/a</v>
      </c>
      <c r="J25" s="46" t="str">
        <f t="shared" si="14"/>
        <v>n/a</v>
      </c>
      <c r="K25" s="46" t="str">
        <f t="shared" si="14"/>
        <v>n/a</v>
      </c>
      <c r="L25" s="47" t="str">
        <f>IFERROR(K25-B25,"n/a")</f>
        <v>n/a</v>
      </c>
      <c r="M25" s="47" t="str">
        <f>IFERROR(I25-E25,"n/a")</f>
        <v>n/a</v>
      </c>
      <c r="N25" s="13" t="str">
        <f ca="1">IFERROR(_xludf.XLOOKUP(K$4,Years,WholeFoods_NetIncome)/_xludf.XLOOKUP(K$4,Years,WholeFoods_Revenue),"n/a")</f>
        <v>n/a</v>
      </c>
    </row>
    <row r="27" spans="1:14" ht="18" customHeight="1" x14ac:dyDescent="0.3">
      <c r="A27" s="84" t="s">
        <v>197</v>
      </c>
      <c r="B27" s="85"/>
      <c r="C27" s="85"/>
      <c r="D27" s="85"/>
      <c r="E27" s="85"/>
      <c r="F27" s="85"/>
      <c r="G27" s="85"/>
      <c r="H27" s="85"/>
      <c r="I27" s="85"/>
      <c r="J27" s="85"/>
      <c r="K27" s="85"/>
      <c r="L27" s="85"/>
      <c r="M27" s="85"/>
    </row>
    <row r="28" spans="1:14" x14ac:dyDescent="0.3">
      <c r="A28" s="26" t="s">
        <v>190</v>
      </c>
      <c r="B28" s="48">
        <f t="shared" ref="B28:K28" si="15">IFERROR(_xlfn.XLOOKUP(B$4,Years,Walmart_CurrentAssets)/_xlfn.XLOOKUP(B$4,Years,Walmart_CurrentLiabilities),"n/a")</f>
        <v>0.86195613196270615</v>
      </c>
      <c r="C28" s="48">
        <f t="shared" si="15"/>
        <v>0.75984768405904157</v>
      </c>
      <c r="D28" s="48">
        <f t="shared" si="15"/>
        <v>0.79890806303806294</v>
      </c>
      <c r="E28" s="48">
        <f t="shared" si="15"/>
        <v>0.7945237177015041</v>
      </c>
      <c r="F28" s="48">
        <f t="shared" si="15"/>
        <v>0.97217334988396564</v>
      </c>
      <c r="G28" s="48">
        <f t="shared" si="15"/>
        <v>0.92779729683333523</v>
      </c>
      <c r="H28" s="48">
        <f t="shared" si="15"/>
        <v>0.82057094513980777</v>
      </c>
      <c r="I28" s="48">
        <f t="shared" si="15"/>
        <v>0.83186712113834338</v>
      </c>
      <c r="J28" s="48">
        <f t="shared" si="15"/>
        <v>0.82268284602004471</v>
      </c>
      <c r="K28" s="48">
        <f t="shared" si="15"/>
        <v>0.78975332421442468</v>
      </c>
      <c r="L28" s="49">
        <f>IFERROR(K28-B28,"n/a")</f>
        <v>-7.2202807748281472E-2</v>
      </c>
      <c r="M28" s="49">
        <f>IFERROR(I28-E28,"n/a")</f>
        <v>3.7343403436839284E-2</v>
      </c>
      <c r="N28" s="13" t="str">
        <f ca="1">IFERROR(_xludf.XLOOKUP(K$4,Years,Walmart_CurrentAssets)/_xludf.XLOOKUP(K$4,Years,Walmart_CurrentLiabilities),"n/a")</f>
        <v>n/a</v>
      </c>
    </row>
    <row r="29" spans="1:14" x14ac:dyDescent="0.3">
      <c r="A29" s="26" t="s">
        <v>191</v>
      </c>
      <c r="B29" s="48">
        <f t="shared" ref="B29:K29" si="16">IFERROR(_xlfn.XLOOKUP(B$4,Years,Costco_CurrentAssets)/_xlfn.XLOOKUP(B$4,Years,Costco_CurrentLiabilities),"n/a")</f>
        <v>0.97707865168539321</v>
      </c>
      <c r="C29" s="48">
        <f t="shared" si="16"/>
        <v>0.98982566447556442</v>
      </c>
      <c r="D29" s="48">
        <f t="shared" si="16"/>
        <v>1.0182174043962662</v>
      </c>
      <c r="E29" s="48">
        <f t="shared" si="16"/>
        <v>1.0106726341610364</v>
      </c>
      <c r="F29" s="48">
        <f t="shared" si="16"/>
        <v>1.1318628240218966</v>
      </c>
      <c r="G29" s="48">
        <f t="shared" si="16"/>
        <v>1.0021738392038313</v>
      </c>
      <c r="H29" s="48">
        <f t="shared" si="16"/>
        <v>1.0218138633664604</v>
      </c>
      <c r="I29" s="48">
        <f t="shared" si="16"/>
        <v>1.0683679242473871</v>
      </c>
      <c r="J29" s="48">
        <f t="shared" si="16"/>
        <v>0.96565531242950597</v>
      </c>
      <c r="K29" s="48">
        <f t="shared" si="16"/>
        <v>1.0342783227336423</v>
      </c>
      <c r="L29" s="49">
        <f>IFERROR(K29-B29,"n/a")</f>
        <v>5.7199671048249079E-2</v>
      </c>
      <c r="M29" s="49">
        <f>IFERROR(I29-E29,"n/a")</f>
        <v>5.769529008635077E-2</v>
      </c>
      <c r="N29" s="13" t="str">
        <f ca="1">IFERROR(_xludf.XLOOKUP(K$4,Years,Costco_CurrentAssets)/_xludf.XLOOKUP(K$4,Years,Costco_CurrentLiabilities),"n/a")</f>
        <v>n/a</v>
      </c>
    </row>
    <row r="30" spans="1:14" x14ac:dyDescent="0.3">
      <c r="A30" s="26" t="s">
        <v>192</v>
      </c>
      <c r="B30" s="48">
        <f t="shared" ref="B30:K30" si="17">IFERROR(_xlfn.XLOOKUP(B$4,Years,Kroger_CurrentAssets)/_xlfn.XLOOKUP(B$4,Years,Kroger_CurrentLiabilities),"n/a")</f>
        <v>0.80404354587869364</v>
      </c>
      <c r="C30" s="48">
        <f t="shared" si="17"/>
        <v>0.78305275762485027</v>
      </c>
      <c r="D30" s="48">
        <f t="shared" si="17"/>
        <v>0.75683060109289613</v>
      </c>
      <c r="E30" s="48">
        <f t="shared" si="17"/>
        <v>0.76458611247630415</v>
      </c>
      <c r="F30" s="48">
        <f t="shared" si="17"/>
        <v>0.81367955225823241</v>
      </c>
      <c r="G30" s="48">
        <f t="shared" si="17"/>
        <v>0.74581878331189122</v>
      </c>
      <c r="H30" s="48">
        <f t="shared" si="17"/>
        <v>0.73500406079591596</v>
      </c>
      <c r="I30" s="48">
        <f t="shared" si="17"/>
        <v>0.80632706439158053</v>
      </c>
      <c r="J30" s="48">
        <f t="shared" si="17"/>
        <v>0.95815558343789209</v>
      </c>
      <c r="K30" s="48">
        <f t="shared" si="17"/>
        <v>0.80102717031146453</v>
      </c>
      <c r="L30" s="49">
        <f>IFERROR(K30-B30,"n/a")</f>
        <v>-3.0163755672291126E-3</v>
      </c>
      <c r="M30" s="49">
        <f>IFERROR(I30-E30,"n/a")</f>
        <v>4.1740951915276381E-2</v>
      </c>
      <c r="N30" s="13" t="str">
        <f ca="1">IFERROR(_xludf.XLOOKUP(K$4,Years,Kroger_CurrentAssets)/_xludf.XLOOKUP(K$4,Years,Kroger_CurrentLiabilities),"n/a")</f>
        <v>n/a</v>
      </c>
    </row>
    <row r="31" spans="1:14" x14ac:dyDescent="0.3">
      <c r="A31" s="26" t="s">
        <v>193</v>
      </c>
      <c r="B31" s="48" t="str">
        <f t="shared" ref="B31:K31" si="18">IFERROR(_xlfn.XLOOKUP(B$4,Years,SamsClub_CurrentAssets)/_xlfn.XLOOKUP(B$4,Years,SamsClub_CurrentLiabilities),"n/a")</f>
        <v>n/a</v>
      </c>
      <c r="C31" s="48" t="str">
        <f t="shared" si="18"/>
        <v>n/a</v>
      </c>
      <c r="D31" s="48" t="str">
        <f t="shared" si="18"/>
        <v>n/a</v>
      </c>
      <c r="E31" s="48" t="str">
        <f t="shared" si="18"/>
        <v>n/a</v>
      </c>
      <c r="F31" s="48" t="str">
        <f t="shared" si="18"/>
        <v>n/a</v>
      </c>
      <c r="G31" s="48" t="str">
        <f t="shared" si="18"/>
        <v>n/a</v>
      </c>
      <c r="H31" s="48" t="str">
        <f t="shared" si="18"/>
        <v>n/a</v>
      </c>
      <c r="I31" s="48" t="str">
        <f t="shared" si="18"/>
        <v>n/a</v>
      </c>
      <c r="J31" s="48" t="str">
        <f t="shared" si="18"/>
        <v>n/a</v>
      </c>
      <c r="K31" s="48" t="str">
        <f t="shared" si="18"/>
        <v>n/a</v>
      </c>
      <c r="L31" s="49" t="str">
        <f>IFERROR(K31-B31,"n/a")</f>
        <v>n/a</v>
      </c>
      <c r="M31" s="49" t="str">
        <f>IFERROR(I31-E31,"n/a")</f>
        <v>n/a</v>
      </c>
      <c r="N31" s="13" t="str">
        <f ca="1">IFERROR(_xludf.XLOOKUP(K$4,Years,SamsClub_CurrentAssets)/_xludf.XLOOKUP(K$4,Years,SamsClub_CurrentLiabilities),"n/a")</f>
        <v>n/a</v>
      </c>
    </row>
    <row r="32" spans="1:14" x14ac:dyDescent="0.3">
      <c r="A32" s="26" t="s">
        <v>194</v>
      </c>
      <c r="B32" s="48">
        <f t="shared" ref="B32:K32" si="19">IFERROR(_xlfn.XLOOKUP(B$4,Years,WholeFoods_CurrentAssets)/_xlfn.XLOOKUP(B$4,Years,WholeFoods_CurrentLiabilities),"n/a")</f>
        <v>1.4727815063385534</v>
      </c>
      <c r="C32" s="48">
        <f t="shared" si="19"/>
        <v>1.5830258302583027</v>
      </c>
      <c r="D32" s="48" t="str">
        <f t="shared" si="19"/>
        <v>n/a</v>
      </c>
      <c r="E32" s="48" t="str">
        <f t="shared" si="19"/>
        <v>n/a</v>
      </c>
      <c r="F32" s="48" t="str">
        <f t="shared" si="19"/>
        <v>n/a</v>
      </c>
      <c r="G32" s="48" t="str">
        <f t="shared" si="19"/>
        <v>n/a</v>
      </c>
      <c r="H32" s="48" t="str">
        <f t="shared" si="19"/>
        <v>n/a</v>
      </c>
      <c r="I32" s="48" t="str">
        <f t="shared" si="19"/>
        <v>n/a</v>
      </c>
      <c r="J32" s="48" t="str">
        <f t="shared" si="19"/>
        <v>n/a</v>
      </c>
      <c r="K32" s="48" t="str">
        <f t="shared" si="19"/>
        <v>n/a</v>
      </c>
      <c r="L32" s="49" t="str">
        <f>IFERROR(K32-B32,"n/a")</f>
        <v>n/a</v>
      </c>
      <c r="M32" s="49" t="str">
        <f>IFERROR(I32-E32,"n/a")</f>
        <v>n/a</v>
      </c>
      <c r="N32" s="13" t="str">
        <f ca="1">IFERROR(_xludf.XLOOKUP(K$4,Years,WholeFoods_CurrentAssets)/_xludf.XLOOKUP(K$4,Years,WholeFoods_CurrentLiabilities),"n/a")</f>
        <v>n/a</v>
      </c>
    </row>
    <row r="34" spans="1:14" ht="18" customHeight="1" x14ac:dyDescent="0.3">
      <c r="A34" s="84" t="s">
        <v>198</v>
      </c>
      <c r="B34" s="85"/>
      <c r="C34" s="85"/>
      <c r="D34" s="85"/>
      <c r="E34" s="85"/>
      <c r="F34" s="85"/>
      <c r="G34" s="85"/>
      <c r="H34" s="85"/>
      <c r="I34" s="85"/>
      <c r="J34" s="85"/>
      <c r="K34" s="85"/>
      <c r="L34" s="85"/>
      <c r="M34" s="85"/>
    </row>
    <row r="35" spans="1:14" x14ac:dyDescent="0.3">
      <c r="A35" s="26" t="s">
        <v>190</v>
      </c>
      <c r="B35" s="48">
        <f t="shared" ref="B35:K35" si="20">IFERROR(_xlfn.XLOOKUP(B$4,Years,Walmart_TotalDebt)/_xlfn.XLOOKUP(B$4,Years,Walmart_TotalEquity),"n/a")</f>
        <v>0.57041038057987214</v>
      </c>
      <c r="C35" s="48">
        <f t="shared" si="20"/>
        <v>0.57517755066689757</v>
      </c>
      <c r="D35" s="48">
        <f t="shared" si="20"/>
        <v>0.72874651530753198</v>
      </c>
      <c r="E35" s="48">
        <f t="shared" si="20"/>
        <v>0.66790514027859527</v>
      </c>
      <c r="F35" s="48">
        <f t="shared" si="20"/>
        <v>0.55832790668448895</v>
      </c>
      <c r="G35" s="48">
        <f t="shared" si="20"/>
        <v>0.46610658279918599</v>
      </c>
      <c r="H35" s="48">
        <f t="shared" si="20"/>
        <v>0.53277455405114982</v>
      </c>
      <c r="I35" s="48">
        <f t="shared" si="20"/>
        <v>0.51899855006696261</v>
      </c>
      <c r="J35" s="48">
        <f t="shared" si="20"/>
        <v>0.47002186386918632</v>
      </c>
      <c r="K35" s="48">
        <f t="shared" si="20"/>
        <v>0.48658475544684426</v>
      </c>
      <c r="L35" s="49">
        <f>IFERROR(K35-B35,"n/a")</f>
        <v>-8.3825625133027881E-2</v>
      </c>
      <c r="M35" s="49">
        <f>IFERROR(I35-E35,"n/a")</f>
        <v>-0.14890659021163266</v>
      </c>
      <c r="N35" s="13" t="str">
        <f ca="1">IFERROR(_xludf.XLOOKUP(K$4,Years,Walmart_TotalDebt)/_xludf.XLOOKUP(K$4,Years,Walmart_TotalEquity),"n/a")</f>
        <v>n/a</v>
      </c>
    </row>
    <row r="36" spans="1:14" x14ac:dyDescent="0.3">
      <c r="A36" s="26" t="s">
        <v>191</v>
      </c>
      <c r="B36" s="48">
        <f t="shared" ref="B36:K36" si="21">IFERROR(_xlfn.XLOOKUP(B$4,Years,Costco_TotalDebt)/_xlfn.XLOOKUP(B$4,Years,Costco_TotalEquity),"n/a")</f>
        <v>0.44883230619526437</v>
      </c>
      <c r="C36" s="48">
        <f t="shared" si="21"/>
        <v>0.63534615037458253</v>
      </c>
      <c r="D36" s="48">
        <f t="shared" si="21"/>
        <v>0.53224452415477375</v>
      </c>
      <c r="E36" s="48">
        <f t="shared" si="21"/>
        <v>0.46483572895277209</v>
      </c>
      <c r="F36" s="48">
        <f t="shared" si="21"/>
        <v>0.44357123763699546</v>
      </c>
      <c r="G36" s="48">
        <f t="shared" si="21"/>
        <v>0.47256333665228456</v>
      </c>
      <c r="H36" s="48">
        <f t="shared" si="21"/>
        <v>0.39642563084225313</v>
      </c>
      <c r="I36" s="48">
        <f t="shared" si="21"/>
        <v>0.31486950275361164</v>
      </c>
      <c r="J36" s="48">
        <f t="shared" si="21"/>
        <v>0.31305562611125221</v>
      </c>
      <c r="K36" s="48">
        <f t="shared" si="21"/>
        <v>0.24917706761761074</v>
      </c>
      <c r="L36" s="49">
        <f>IFERROR(K36-B36,"n/a")</f>
        <v>-0.19965523857765363</v>
      </c>
      <c r="M36" s="49">
        <f>IFERROR(I36-E36,"n/a")</f>
        <v>-0.14996622619916045</v>
      </c>
      <c r="N36" s="13" t="str">
        <f ca="1">IFERROR(_xludf.XLOOKUP(K$4,Years,Costco_TotalDebt)/_xludf.XLOOKUP(K$4,Years,Costco_TotalEquity),"n/a")</f>
        <v>n/a</v>
      </c>
    </row>
    <row r="37" spans="1:14" x14ac:dyDescent="0.3">
      <c r="A37" s="26" t="s">
        <v>192</v>
      </c>
      <c r="B37" s="48">
        <f t="shared" ref="B37:K37" si="22">IFERROR(_xlfn.XLOOKUP(B$4,Years,Kroger_TotalDebt)/_xlfn.XLOOKUP(B$4,Years,Kroger_TotalEquity),"n/a")</f>
        <v>2.0979135618479883</v>
      </c>
      <c r="C37" s="48">
        <f t="shared" si="22"/>
        <v>2.2576393917451121</v>
      </c>
      <c r="D37" s="48">
        <f t="shared" si="22"/>
        <v>1.9437141033822591</v>
      </c>
      <c r="E37" s="48">
        <f t="shared" si="22"/>
        <v>1.6418989851860493</v>
      </c>
      <c r="F37" s="48">
        <f t="shared" si="22"/>
        <v>1.4045026178010471</v>
      </c>
      <c r="G37" s="48">
        <f t="shared" si="22"/>
        <v>1.4173295153250609</v>
      </c>
      <c r="H37" s="48">
        <f t="shared" si="22"/>
        <v>1.3359296984222089</v>
      </c>
      <c r="I37" s="48">
        <f t="shared" si="22"/>
        <v>1.053874665977071</v>
      </c>
      <c r="J37" s="48">
        <f t="shared" si="22"/>
        <v>2.1621784808597995</v>
      </c>
      <c r="K37" s="48">
        <f t="shared" si="22"/>
        <v>2.9592318059299192</v>
      </c>
      <c r="L37" s="49">
        <f>IFERROR(K37-B37,"n/a")</f>
        <v>0.86131824408193092</v>
      </c>
      <c r="M37" s="49">
        <f>IFERROR(I37-E37,"n/a")</f>
        <v>-0.58802431920897824</v>
      </c>
      <c r="N37" s="13" t="str">
        <f ca="1">IFERROR(_xludf.XLOOKUP(K$4,Years,Kroger_TotalDebt)/_xludf.XLOOKUP(K$4,Years,Kroger_TotalEquity),"n/a")</f>
        <v>n/a</v>
      </c>
    </row>
    <row r="38" spans="1:14" x14ac:dyDescent="0.3">
      <c r="A38" s="26" t="s">
        <v>193</v>
      </c>
      <c r="B38" s="48" t="str">
        <f t="shared" ref="B38:K38" si="23">IFERROR(_xlfn.XLOOKUP(B$4,Years,SamsClub_TotalDebt)/_xlfn.XLOOKUP(B$4,Years,SamsClub_TotalEquity),"n/a")</f>
        <v>n/a</v>
      </c>
      <c r="C38" s="48" t="str">
        <f t="shared" si="23"/>
        <v>n/a</v>
      </c>
      <c r="D38" s="48" t="str">
        <f t="shared" si="23"/>
        <v>n/a</v>
      </c>
      <c r="E38" s="48" t="str">
        <f t="shared" si="23"/>
        <v>n/a</v>
      </c>
      <c r="F38" s="48" t="str">
        <f t="shared" si="23"/>
        <v>n/a</v>
      </c>
      <c r="G38" s="48" t="str">
        <f t="shared" si="23"/>
        <v>n/a</v>
      </c>
      <c r="H38" s="48" t="str">
        <f t="shared" si="23"/>
        <v>n/a</v>
      </c>
      <c r="I38" s="48" t="str">
        <f t="shared" si="23"/>
        <v>n/a</v>
      </c>
      <c r="J38" s="48" t="str">
        <f t="shared" si="23"/>
        <v>n/a</v>
      </c>
      <c r="K38" s="48" t="str">
        <f t="shared" si="23"/>
        <v>n/a</v>
      </c>
      <c r="L38" s="49" t="str">
        <f>IFERROR(K38-B38,"n/a")</f>
        <v>n/a</v>
      </c>
      <c r="M38" s="49" t="str">
        <f>IFERROR(I38-E38,"n/a")</f>
        <v>n/a</v>
      </c>
      <c r="N38" s="13" t="str">
        <f ca="1">IFERROR(_xludf.XLOOKUP(K$4,Years,SamsClub_TotalDebt)/_xludf.XLOOKUP(K$4,Years,SamsClub_TotalEquity),"n/a")</f>
        <v>n/a</v>
      </c>
    </row>
    <row r="39" spans="1:14" x14ac:dyDescent="0.3">
      <c r="A39" s="26" t="s">
        <v>194</v>
      </c>
      <c r="B39" s="48">
        <f t="shared" ref="B39:K39" si="24">IFERROR(_xlfn.XLOOKUP(B$4,Years,WholeFoods_TotalDebt)/_xlfn.XLOOKUP(B$4,Years,WholeFoods_TotalEquity),"n/a")</f>
        <v>0.32599255583126552</v>
      </c>
      <c r="C39" s="48">
        <f t="shared" si="24"/>
        <v>0.31574344023323614</v>
      </c>
      <c r="D39" s="48" t="str">
        <f t="shared" si="24"/>
        <v>n/a</v>
      </c>
      <c r="E39" s="48" t="str">
        <f t="shared" si="24"/>
        <v>n/a</v>
      </c>
      <c r="F39" s="48" t="str">
        <f t="shared" si="24"/>
        <v>n/a</v>
      </c>
      <c r="G39" s="48" t="str">
        <f t="shared" si="24"/>
        <v>n/a</v>
      </c>
      <c r="H39" s="48" t="str">
        <f t="shared" si="24"/>
        <v>n/a</v>
      </c>
      <c r="I39" s="48" t="str">
        <f t="shared" si="24"/>
        <v>n/a</v>
      </c>
      <c r="J39" s="48" t="str">
        <f t="shared" si="24"/>
        <v>n/a</v>
      </c>
      <c r="K39" s="48" t="str">
        <f t="shared" si="24"/>
        <v>n/a</v>
      </c>
      <c r="L39" s="49" t="str">
        <f>IFERROR(K39-B39,"n/a")</f>
        <v>n/a</v>
      </c>
      <c r="M39" s="49" t="str">
        <f>IFERROR(I39-E39,"n/a")</f>
        <v>n/a</v>
      </c>
      <c r="N39" s="13" t="str">
        <f ca="1">IFERROR(_xludf.XLOOKUP(K$4,Years,WholeFoods_TotalDebt)/_xludf.XLOOKUP(K$4,Years,WholeFoods_TotalEquity),"n/a")</f>
        <v>n/a</v>
      </c>
    </row>
    <row r="41" spans="1:14" ht="18" customHeight="1" x14ac:dyDescent="0.3">
      <c r="A41" s="84" t="s">
        <v>199</v>
      </c>
      <c r="B41" s="85"/>
      <c r="C41" s="85"/>
      <c r="D41" s="85"/>
      <c r="E41" s="85"/>
      <c r="F41" s="85"/>
      <c r="G41" s="85"/>
      <c r="H41" s="85"/>
      <c r="I41" s="85"/>
      <c r="J41" s="85"/>
      <c r="K41" s="85"/>
      <c r="L41" s="85"/>
      <c r="M41" s="85"/>
    </row>
    <row r="42" spans="1:14" x14ac:dyDescent="0.3">
      <c r="A42" s="26" t="s">
        <v>190</v>
      </c>
      <c r="B42" s="48" t="str">
        <f t="shared" ref="B42:K42" si="25">IFERROR((_xlfn.XLOOKUP(B$4,Years,Walmart_TotalDebt)+_xlfn.XLOOKUP(B$4,Years,Walmart_OperatingLease))/_xlfn.XLOOKUP(B$4,Years,Walmart_TotalEquity),"n/a")</f>
        <v>n/a</v>
      </c>
      <c r="C42" s="48" t="str">
        <f t="shared" si="25"/>
        <v>n/a</v>
      </c>
      <c r="D42" s="48" t="str">
        <f t="shared" si="25"/>
        <v>n/a</v>
      </c>
      <c r="E42" s="48">
        <f t="shared" si="25"/>
        <v>0.88818177359230921</v>
      </c>
      <c r="F42" s="48">
        <f t="shared" si="25"/>
        <v>0.72255543750214213</v>
      </c>
      <c r="G42" s="48">
        <f t="shared" si="25"/>
        <v>0.6238151723237314</v>
      </c>
      <c r="H42" s="48">
        <f t="shared" si="25"/>
        <v>0.70352460777992698</v>
      </c>
      <c r="I42" s="48">
        <f t="shared" si="25"/>
        <v>0.67871254800827896</v>
      </c>
      <c r="J42" s="48">
        <f t="shared" si="25"/>
        <v>0.61705381796532577</v>
      </c>
      <c r="K42" s="48">
        <f t="shared" si="25"/>
        <v>0.63364718992888647</v>
      </c>
      <c r="L42" s="49" t="str">
        <f>IFERROR(K42-B42,"n/a")</f>
        <v>n/a</v>
      </c>
      <c r="M42" s="49">
        <f>IFERROR(I42-E42,"n/a")</f>
        <v>-0.20946922558403025</v>
      </c>
      <c r="N42" s="13" t="str">
        <f ca="1">IFERROR((_xludf.XLOOKUP(K$4,Years,Walmart_TotalDebt)+_xludf.XLOOKUP(K$4,Years,Walmart_OperatingLease))/_xludf.XLOOKUP(K$4,Years,Walmart_TotalEquity),"n/a")</f>
        <v>n/a</v>
      </c>
    </row>
    <row r="43" spans="1:14" x14ac:dyDescent="0.3">
      <c r="A43" s="26" t="s">
        <v>191</v>
      </c>
      <c r="B43" s="48" t="str">
        <f t="shared" ref="B43:K43" si="26">IFERROR((_xlfn.XLOOKUP(B$4,Years,Costco_TotalDebt)+_xlfn.XLOOKUP(B$4,Years,Costco_OperatingLease))/_xlfn.XLOOKUP(B$4,Years,Costco_TotalEquity),"n/a")</f>
        <v>n/a</v>
      </c>
      <c r="C43" s="48" t="str">
        <f t="shared" si="26"/>
        <v>n/a</v>
      </c>
      <c r="D43" s="48" t="str">
        <f t="shared" si="26"/>
        <v>n/a</v>
      </c>
      <c r="E43" s="48" t="str">
        <f t="shared" si="26"/>
        <v>n/a</v>
      </c>
      <c r="F43" s="48">
        <f t="shared" si="26"/>
        <v>0.59267575514568294</v>
      </c>
      <c r="G43" s="48">
        <f t="shared" si="26"/>
        <v>0.63098794114393186</v>
      </c>
      <c r="H43" s="48">
        <f t="shared" si="26"/>
        <v>0.52821233108926235</v>
      </c>
      <c r="I43" s="48">
        <f t="shared" si="26"/>
        <v>0.42046452230824488</v>
      </c>
      <c r="J43" s="48">
        <f t="shared" si="26"/>
        <v>0.42117517568368468</v>
      </c>
      <c r="K43" s="48">
        <f t="shared" si="26"/>
        <v>0.34065971745988205</v>
      </c>
      <c r="L43" s="49" t="str">
        <f>IFERROR(K43-B43,"n/a")</f>
        <v>n/a</v>
      </c>
      <c r="M43" s="49" t="str">
        <f>IFERROR(I43-E43,"n/a")</f>
        <v>n/a</v>
      </c>
      <c r="N43" s="13" t="str">
        <f ca="1">IFERROR((_xludf.XLOOKUP(K$4,Years,Costco_TotalDebt)+_xludf.XLOOKUP(K$4,Years,Costco_OperatingLease))/_xludf.XLOOKUP(K$4,Years,Costco_TotalEquity),"n/a")</f>
        <v>n/a</v>
      </c>
    </row>
    <row r="44" spans="1:14" x14ac:dyDescent="0.3">
      <c r="A44" s="26" t="s">
        <v>192</v>
      </c>
      <c r="B44" s="48" t="str">
        <f t="shared" ref="B44:K44" si="27">IFERROR((_xlfn.XLOOKUP(B$4,Years,Kroger_TotalDebt)+_xlfn.XLOOKUP(B$4,Years,Kroger_OperatingLease))/_xlfn.XLOOKUP(B$4,Years,Kroger_TotalEquity),"n/a")</f>
        <v>n/a</v>
      </c>
      <c r="C44" s="48" t="str">
        <f t="shared" si="27"/>
        <v>n/a</v>
      </c>
      <c r="D44" s="48" t="str">
        <f t="shared" si="27"/>
        <v>n/a</v>
      </c>
      <c r="E44" s="48">
        <f t="shared" si="27"/>
        <v>2.4703137758077687</v>
      </c>
      <c r="F44" s="48">
        <f t="shared" si="27"/>
        <v>2.1557068062827227</v>
      </c>
      <c r="G44" s="48">
        <f t="shared" si="27"/>
        <v>2.1677802524127689</v>
      </c>
      <c r="H44" s="48">
        <f t="shared" si="27"/>
        <v>2.0383463151587775</v>
      </c>
      <c r="I44" s="48">
        <f t="shared" si="27"/>
        <v>1.6590811136970951</v>
      </c>
      <c r="J44" s="48">
        <f t="shared" si="27"/>
        <v>3.0288612486414683</v>
      </c>
      <c r="K44" s="48">
        <f t="shared" si="27"/>
        <v>4.1597035040431267</v>
      </c>
      <c r="L44" s="49" t="str">
        <f>IFERROR(K44-B44,"n/a")</f>
        <v>n/a</v>
      </c>
      <c r="M44" s="49">
        <f>IFERROR(I44-E44,"n/a")</f>
        <v>-0.81123266211067357</v>
      </c>
      <c r="N44" s="13" t="str">
        <f ca="1">IFERROR((_xludf.XLOOKUP(K$4,Years,Kroger_TotalDebt)+_xludf.XLOOKUP(K$4,Years,Kroger_OperatingLease))/_xludf.XLOOKUP(K$4,Years,Kroger_TotalEquity),"n/a")</f>
        <v>n/a</v>
      </c>
    </row>
    <row r="45" spans="1:14" x14ac:dyDescent="0.3">
      <c r="A45" s="26" t="s">
        <v>193</v>
      </c>
      <c r="B45" s="48" t="str">
        <f>IFERROR((_xlfn.XLOOKUP(B$4,Years,SamsClub_TotalDebt)+_xlfn.XLOOKUP(B$4,Years,SamsClub_OperatingLease))/_xlfn.XLOOKUP(B$4,Years,SamsClub_TotalEquity),"n/a")</f>
        <v>n/a</v>
      </c>
      <c r="C45" s="48" t="str">
        <f>IFERROR((_xlfn.XLOOKUP(C$4,Years,SamsClub_TotalDebt)+_xlfn.XLOOKUP(C$4,Years,SamsClub_OperatingLease))/_xlfn.XLOOKUP(C$4,Years,SamsClub_TotalEquity),"n/a")</f>
        <v>n/a</v>
      </c>
      <c r="D45" s="48" t="str">
        <f>IFERROR((_xlfn.XLOOKUP(D$4,Years,SamsClub_TotalDebt)+_xlfn.XLOOKUP(D$4,Years,SamsClub_OperatingLease))/_xlfn.XLOOKUP(D$4,Years,SamsClub_TotalEquity),"n/a")</f>
        <v>n/a</v>
      </c>
      <c r="E45" s="48" t="str">
        <f>IFERROR((_xlfn.XLOOKUP(E$4,Years,SamsClub_TotalDebt)+_xlfn.XLOOKUP(E$4,Years,SamsClub_OperatingLease))/_xlfn.XLOOKUP(E$4,Years,SamsClub_TotalEquity),"n/a")</f>
        <v>n/a</v>
      </c>
      <c r="F45" s="48" t="str">
        <f>IFERROR((_xlfn.XLOOKUP(F$4,Years,SamsClub_TotalDebt)+_xlfn.XLOOKUP(F$4,Years,SamsClub_OperatingLease))/_xlfn.XLOOKUP(F$4,Years,SamsClub_TotalEquity),"n/a")</f>
        <v>n/a</v>
      </c>
      <c r="G45" s="48" t="str">
        <f>IFERROR((_xlfn.XLOOKUP(G$4,Years,SamsClub_TotalDebt)+_xlfn.XLOOKUP(G$4,Years,SamsClub_OperatingLease))/_xlfn.XLOOKUP(G$4,Years,SamsClub_TotalEquity),"n/a")</f>
        <v>n/a</v>
      </c>
      <c r="H45" s="48" t="str">
        <f>IFERROR((_xlfn.XLOOKUP(H$4,Years,SamsClub_TotalDebt)+_xlfn.XLOOKUP(H$4,Years,SamsClub_OperatingLease))/_xlfn.XLOOKUP(H$4,Years,SamsClub_TotalEquity),"n/a")</f>
        <v>n/a</v>
      </c>
      <c r="I45" s="48" t="str">
        <f>IFERROR((_xlfn.XLOOKUP(I$4,Years,SamsClub_TotalDebt)+_xlfn.XLOOKUP(I$4,Years,SamsClub_OperatingLease))/_xlfn.XLOOKUP(I$4,Years,SamsClub_TotalEquity),"n/a")</f>
        <v>n/a</v>
      </c>
      <c r="J45" s="48" t="str">
        <f>IFERROR((_xlfn.XLOOKUP(J$4,Years,SamsClub_TotalDebt)+_xlfn.XLOOKUP(J$4,Years,SamsClub_OperatingLease))/_xlfn.XLOOKUP(J$4,Years,SamsClub_TotalEquity),"n/a")</f>
        <v>n/a</v>
      </c>
      <c r="K45" s="48" t="str">
        <f>IFERROR((_xlfn.XLOOKUP(K$4,Years,SamsClub_TotalDebt)+_xlfn.XLOOKUP(K$4,Years,SamsClub_OperatingLease))/_xlfn.XLOOKUP(K$4,Years,SamsClub_TotalEquity),"n/a")</f>
        <v>n/a</v>
      </c>
      <c r="L45" s="49" t="str">
        <f>IFERROR(K45-B45,"n/a")</f>
        <v>n/a</v>
      </c>
      <c r="M45" s="49" t="str">
        <f>IFERROR(I45-E45,"n/a")</f>
        <v>n/a</v>
      </c>
      <c r="N45" s="13" t="str">
        <f ca="1">IFERROR((_xludf.XLOOKUP(K$4,Years,SamsClub_TotalDebt)+_xludf.XLOOKUP(K$4,Years,SamsClub_OperatingLease))/_xludf.XLOOKUP(K$4,Years,SamsClub_TotalEquity),"n/a")</f>
        <v>n/a</v>
      </c>
    </row>
    <row r="46" spans="1:14" x14ac:dyDescent="0.3">
      <c r="A46" s="26" t="s">
        <v>194</v>
      </c>
      <c r="B46" s="48" t="str">
        <f>IFERROR((_xlfn.XLOOKUP(B$4,Years,WholeFoods_TotalDebt)+_xlfn.XLOOKUP(B$4,Years,WholeFoods_OperatingLease))/_xlfn.XLOOKUP(B$4,Years,WholeFoods_TotalEquity),"n/a")</f>
        <v>n/a</v>
      </c>
      <c r="C46" s="48" t="str">
        <f>IFERROR((_xlfn.XLOOKUP(C$4,Years,WholeFoods_TotalDebt)+_xlfn.XLOOKUP(C$4,Years,WholeFoods_OperatingLease))/_xlfn.XLOOKUP(C$4,Years,WholeFoods_TotalEquity),"n/a")</f>
        <v>n/a</v>
      </c>
      <c r="D46" s="48" t="str">
        <f>IFERROR((_xlfn.XLOOKUP(D$4,Years,WholeFoods_TotalDebt)+_xlfn.XLOOKUP(D$4,Years,WholeFoods_OperatingLease))/_xlfn.XLOOKUP(D$4,Years,WholeFoods_TotalEquity),"n/a")</f>
        <v>n/a</v>
      </c>
      <c r="E46" s="48" t="str">
        <f>IFERROR((_xlfn.XLOOKUP(E$4,Years,WholeFoods_TotalDebt)+_xlfn.XLOOKUP(E$4,Years,WholeFoods_OperatingLease))/_xlfn.XLOOKUP(E$4,Years,WholeFoods_TotalEquity),"n/a")</f>
        <v>n/a</v>
      </c>
      <c r="F46" s="48" t="str">
        <f>IFERROR((_xlfn.XLOOKUP(F$4,Years,WholeFoods_TotalDebt)+_xlfn.XLOOKUP(F$4,Years,WholeFoods_OperatingLease))/_xlfn.XLOOKUP(F$4,Years,WholeFoods_TotalEquity),"n/a")</f>
        <v>n/a</v>
      </c>
      <c r="G46" s="48" t="str">
        <f>IFERROR((_xlfn.XLOOKUP(G$4,Years,WholeFoods_TotalDebt)+_xlfn.XLOOKUP(G$4,Years,WholeFoods_OperatingLease))/_xlfn.XLOOKUP(G$4,Years,WholeFoods_TotalEquity),"n/a")</f>
        <v>n/a</v>
      </c>
      <c r="H46" s="48" t="str">
        <f>IFERROR((_xlfn.XLOOKUP(H$4,Years,WholeFoods_TotalDebt)+_xlfn.XLOOKUP(H$4,Years,WholeFoods_OperatingLease))/_xlfn.XLOOKUP(H$4,Years,WholeFoods_TotalEquity),"n/a")</f>
        <v>n/a</v>
      </c>
      <c r="I46" s="48" t="str">
        <f>IFERROR((_xlfn.XLOOKUP(I$4,Years,WholeFoods_TotalDebt)+_xlfn.XLOOKUP(I$4,Years,WholeFoods_OperatingLease))/_xlfn.XLOOKUP(I$4,Years,WholeFoods_TotalEquity),"n/a")</f>
        <v>n/a</v>
      </c>
      <c r="J46" s="48" t="str">
        <f>IFERROR((_xlfn.XLOOKUP(J$4,Years,WholeFoods_TotalDebt)+_xlfn.XLOOKUP(J$4,Years,WholeFoods_OperatingLease))/_xlfn.XLOOKUP(J$4,Years,WholeFoods_TotalEquity),"n/a")</f>
        <v>n/a</v>
      </c>
      <c r="K46" s="48" t="str">
        <f>IFERROR((_xlfn.XLOOKUP(K$4,Years,WholeFoods_TotalDebt)+_xlfn.XLOOKUP(K$4,Years,WholeFoods_OperatingLease))/_xlfn.XLOOKUP(K$4,Years,WholeFoods_TotalEquity),"n/a")</f>
        <v>n/a</v>
      </c>
      <c r="L46" s="49" t="str">
        <f>IFERROR(K46-B46,"n/a")</f>
        <v>n/a</v>
      </c>
      <c r="M46" s="49" t="str">
        <f>IFERROR(I46-E46,"n/a")</f>
        <v>n/a</v>
      </c>
      <c r="N46" s="13" t="str">
        <f ca="1">IFERROR((_xludf.XLOOKUP(K$4,Years,WholeFoods_TotalDebt)+_xludf.XLOOKUP(K$4,Years,WholeFoods_OperatingLease))/_xludf.XLOOKUP(K$4,Years,WholeFoods_TotalEquity),"n/a")</f>
        <v>n/a</v>
      </c>
    </row>
    <row r="48" spans="1:14" ht="18" customHeight="1" x14ac:dyDescent="0.3">
      <c r="A48" s="84" t="s">
        <v>200</v>
      </c>
      <c r="B48" s="85"/>
      <c r="C48" s="85"/>
      <c r="D48" s="85"/>
      <c r="E48" s="85"/>
      <c r="F48" s="85"/>
      <c r="G48" s="85"/>
      <c r="H48" s="85"/>
      <c r="I48" s="85"/>
      <c r="J48" s="85"/>
      <c r="K48" s="85"/>
      <c r="L48" s="85"/>
      <c r="M48" s="85"/>
    </row>
    <row r="49" spans="1:14" x14ac:dyDescent="0.3">
      <c r="A49" s="26" t="s">
        <v>190</v>
      </c>
      <c r="B49" s="46">
        <f t="shared" ref="B49:K49" si="28">IFERROR(_xlfn.XLOOKUP(B$4,Years,Walmart_Revenue)/_xlfn.XLOOKUP(B$4-1,Years,Walmart_Revenue)-1,"n/a")</f>
        <v>5.6475573217666941E-3</v>
      </c>
      <c r="C49" s="46">
        <f t="shared" si="28"/>
        <v>3.000932857139893E-2</v>
      </c>
      <c r="D49" s="46">
        <f t="shared" si="28"/>
        <v>2.9385127107618425E-2</v>
      </c>
      <c r="E49" s="46">
        <f t="shared" si="28"/>
        <v>1.8805515657546401E-2</v>
      </c>
      <c r="F49" s="46">
        <f t="shared" si="28"/>
        <v>6.7907740716948162E-2</v>
      </c>
      <c r="G49" s="46">
        <f t="shared" si="28"/>
        <v>2.2565301414001038E-2</v>
      </c>
      <c r="H49" s="46">
        <f t="shared" si="28"/>
        <v>6.7139047699564358E-2</v>
      </c>
      <c r="I49" s="46">
        <f t="shared" si="28"/>
        <v>6.0665378184824981E-2</v>
      </c>
      <c r="J49" s="46">
        <f t="shared" si="28"/>
        <v>4.9640776986074497E-2</v>
      </c>
      <c r="K49" s="46">
        <f t="shared" si="28"/>
        <v>4.7254565346948496E-2</v>
      </c>
      <c r="L49" s="47">
        <f t="shared" ref="L49:L54" si="29">IFERROR(K49-B49,"n/a")</f>
        <v>4.1607008025181802E-2</v>
      </c>
      <c r="M49" s="47">
        <f t="shared" ref="M49:M54" si="30">IFERROR(I49-E49,"n/a")</f>
        <v>4.185986252727858E-2</v>
      </c>
      <c r="N49" s="13" t="str">
        <f ca="1">IFERROR(_xludf.XLOOKUP(K$4,Years,Walmart_Revenue)/_xludf.XLOOKUP(K$4-1,Years,Walmart_Revenue)-1,"n/a")</f>
        <v>n/a</v>
      </c>
    </row>
    <row r="50" spans="1:14" x14ac:dyDescent="0.3">
      <c r="A50" s="26" t="s">
        <v>191</v>
      </c>
      <c r="B50" s="46">
        <f t="shared" ref="B50:K50" si="31">IFERROR(_xlfn.XLOOKUP(B$4,Years,Costco_Revenue)/_xlfn.XLOOKUP(B$4-1,Years,Costco_Revenue)-1,"n/a")</f>
        <v>2.1176077279045691E-2</v>
      </c>
      <c r="C50" s="46">
        <f t="shared" si="31"/>
        <v>8.7005591308917607E-2</v>
      </c>
      <c r="D50" s="46">
        <f t="shared" si="31"/>
        <v>9.7184795358716602E-2</v>
      </c>
      <c r="E50" s="46">
        <f t="shared" si="31"/>
        <v>7.8860684513919921E-2</v>
      </c>
      <c r="F50" s="46">
        <f t="shared" si="31"/>
        <v>9.2861781976685709E-2</v>
      </c>
      <c r="G50" s="46">
        <f t="shared" si="31"/>
        <v>0.17664501899277041</v>
      </c>
      <c r="H50" s="46">
        <f t="shared" si="31"/>
        <v>0.15973798762835067</v>
      </c>
      <c r="I50" s="46">
        <f t="shared" si="31"/>
        <v>6.72563193103759E-2</v>
      </c>
      <c r="J50" s="46">
        <f t="shared" si="31"/>
        <v>5.0124100795086557E-2</v>
      </c>
      <c r="K50" s="46">
        <f t="shared" si="31"/>
        <v>8.1269904857286024E-2</v>
      </c>
      <c r="L50" s="47">
        <f t="shared" si="29"/>
        <v>6.0093827578240333E-2</v>
      </c>
      <c r="M50" s="47">
        <f t="shared" si="30"/>
        <v>-1.160436520354402E-2</v>
      </c>
      <c r="N50" s="13" t="str">
        <f ca="1">IFERROR(_xludf.XLOOKUP(K$4,Years,Costco_Revenue)/_xludf.XLOOKUP(K$4-1,Years,Costco_Revenue)-1,"n/a")</f>
        <v>n/a</v>
      </c>
    </row>
    <row r="51" spans="1:14" x14ac:dyDescent="0.3">
      <c r="A51" s="26" t="s">
        <v>192</v>
      </c>
      <c r="B51" s="46">
        <f t="shared" ref="B51:K51" si="32">IFERROR(_xlfn.XLOOKUP(B$4,Years,Kroger_Revenue)/_xlfn.XLOOKUP(B$4-1,Years,Kroger_Revenue)-1,"n/a")</f>
        <v>5.0141127196576596E-2</v>
      </c>
      <c r="C51" s="46">
        <f t="shared" si="32"/>
        <v>6.8867752759305345E-2</v>
      </c>
      <c r="D51" s="46">
        <f t="shared" si="32"/>
        <v>-1.158338741077225E-2</v>
      </c>
      <c r="E51" s="46">
        <f t="shared" si="32"/>
        <v>3.5616977973278452E-3</v>
      </c>
      <c r="F51" s="46">
        <f t="shared" si="32"/>
        <v>8.3509150679554445E-2</v>
      </c>
      <c r="G51" s="46">
        <f t="shared" si="32"/>
        <v>4.0679859318631273E-2</v>
      </c>
      <c r="H51" s="46">
        <f t="shared" si="32"/>
        <v>7.5205964260849356E-2</v>
      </c>
      <c r="I51" s="46">
        <f t="shared" si="32"/>
        <v>1.2012842477303165E-2</v>
      </c>
      <c r="J51" s="46">
        <f t="shared" si="32"/>
        <v>-1.9434946913802431E-2</v>
      </c>
      <c r="K51" s="46">
        <f t="shared" si="32"/>
        <v>3.5276605289451535E-3</v>
      </c>
      <c r="L51" s="47">
        <f t="shared" si="29"/>
        <v>-4.6613466667631442E-2</v>
      </c>
      <c r="M51" s="47">
        <f t="shared" si="30"/>
        <v>8.4511446799753198E-3</v>
      </c>
      <c r="N51" s="13" t="str">
        <f ca="1">IFERROR(_xludf.XLOOKUP(K$4,Years,Kroger_Revenue)/_xludf.XLOOKUP(K$4-1,Years,Kroger_Revenue)-1,"n/a")</f>
        <v>n/a</v>
      </c>
    </row>
    <row r="52" spans="1:14" x14ac:dyDescent="0.3">
      <c r="A52" s="26" t="s">
        <v>193</v>
      </c>
      <c r="B52" s="46">
        <f t="shared" ref="B52:K52" si="33">IFERROR(_xlfn.XLOOKUP(B$4,Years,SamsClub_Revenue)/_xlfn.XLOOKUP(B$4-1,Years,SamsClub_Revenue)-1,"n/a")</f>
        <v>9.4495671148024929E-3</v>
      </c>
      <c r="C52" s="46">
        <f t="shared" si="33"/>
        <v>3.226706179726313E-2</v>
      </c>
      <c r="D52" s="46">
        <f t="shared" si="33"/>
        <v>-2.3253850310726798E-2</v>
      </c>
      <c r="E52" s="46">
        <f t="shared" si="33"/>
        <v>1.6476771728418438E-2</v>
      </c>
      <c r="F52" s="46">
        <f t="shared" si="33"/>
        <v>8.7052660225880985E-2</v>
      </c>
      <c r="G52" s="46">
        <f t="shared" si="33"/>
        <v>0.15093099671412924</v>
      </c>
      <c r="H52" s="46">
        <f t="shared" si="33"/>
        <v>0.14667736146609389</v>
      </c>
      <c r="I52" s="46">
        <f t="shared" si="33"/>
        <v>2.1744027506076291E-2</v>
      </c>
      <c r="J52" s="46">
        <f t="shared" si="33"/>
        <v>4.7099641443971274E-2</v>
      </c>
      <c r="K52" s="46">
        <f t="shared" si="33"/>
        <v>3.077417495955137E-2</v>
      </c>
      <c r="L52" s="47">
        <f t="shared" si="29"/>
        <v>2.1324607844748877E-2</v>
      </c>
      <c r="M52" s="47">
        <f t="shared" si="30"/>
        <v>5.2672557776578532E-3</v>
      </c>
      <c r="N52" s="13" t="str">
        <f ca="1">IFERROR(_xludf.XLOOKUP(K$4,Years,SamsClub_Revenue)/_xludf.XLOOKUP(K$4-1,Years,SamsClub_Revenue)-1,"n/a")</f>
        <v>n/a</v>
      </c>
    </row>
    <row r="53" spans="1:14" x14ac:dyDescent="0.3">
      <c r="A53" s="26" t="s">
        <v>194</v>
      </c>
      <c r="B53" s="46">
        <f t="shared" ref="B53:K53" si="34">IFERROR(_xlfn.XLOOKUP(B$4,Years,WholeFoods_Revenue)/_xlfn.XLOOKUP(B$4-1,Years,WholeFoods_Revenue)-1,"n/a")</f>
        <v>2.1768795893170489E-2</v>
      </c>
      <c r="C53" s="46">
        <f t="shared" si="34"/>
        <v>1.9460697023658158E-2</v>
      </c>
      <c r="D53" s="46" t="str">
        <f t="shared" si="34"/>
        <v>n/a</v>
      </c>
      <c r="E53" s="46" t="str">
        <f t="shared" si="34"/>
        <v>n/a</v>
      </c>
      <c r="F53" s="46" t="str">
        <f t="shared" si="34"/>
        <v>n/a</v>
      </c>
      <c r="G53" s="46" t="str">
        <f t="shared" si="34"/>
        <v>n/a</v>
      </c>
      <c r="H53" s="46" t="str">
        <f t="shared" si="34"/>
        <v>n/a</v>
      </c>
      <c r="I53" s="46" t="str">
        <f t="shared" si="34"/>
        <v>n/a</v>
      </c>
      <c r="J53" s="46" t="str">
        <f t="shared" si="34"/>
        <v>n/a</v>
      </c>
      <c r="K53" s="46" t="str">
        <f t="shared" si="34"/>
        <v>n/a</v>
      </c>
      <c r="L53" s="47" t="str">
        <f t="shared" si="29"/>
        <v>n/a</v>
      </c>
      <c r="M53" s="47" t="str">
        <f t="shared" si="30"/>
        <v>n/a</v>
      </c>
      <c r="N53" s="13" t="str">
        <f ca="1">IFERROR(_xludf.XLOOKUP(K$4,Years,WholeFoods_Revenue)/_xludf.XLOOKUP(K$4-1,Years,WholeFoods_Revenue)-1,"n/a")</f>
        <v>n/a</v>
      </c>
    </row>
    <row r="54" spans="1:14" x14ac:dyDescent="0.3">
      <c r="A54" s="26" t="s">
        <v>201</v>
      </c>
      <c r="B54" s="46" t="str">
        <f t="shared" ref="B54:K54" si="35">IFERROR(_xlfn.XLOOKUP(B$4,Years,WholeFoods_SuccessorRevenue)/_xlfn.XLOOKUP(B$4-1,Years,WholeFoods_SuccessorRevenue)-1,"n/a")</f>
        <v>n/a</v>
      </c>
      <c r="C54" s="46" t="str">
        <f t="shared" si="35"/>
        <v>n/a</v>
      </c>
      <c r="D54" s="46" t="str">
        <f t="shared" si="35"/>
        <v>n/a</v>
      </c>
      <c r="E54" s="46">
        <f t="shared" si="35"/>
        <v>-1.8578727357175806E-3</v>
      </c>
      <c r="F54" s="46">
        <f t="shared" si="35"/>
        <v>-5.6130758492321964E-2</v>
      </c>
      <c r="G54" s="46">
        <f t="shared" si="35"/>
        <v>5.2258581376717794E-2</v>
      </c>
      <c r="H54" s="46">
        <f t="shared" si="35"/>
        <v>0.11057101024890192</v>
      </c>
      <c r="I54" s="46">
        <f t="shared" si="35"/>
        <v>5.6267468227601203E-2</v>
      </c>
      <c r="J54" s="46">
        <f t="shared" si="35"/>
        <v>5.9161258112830684E-2</v>
      </c>
      <c r="K54" s="46">
        <f t="shared" si="35"/>
        <v>6.3445675229790277E-2</v>
      </c>
      <c r="L54" s="47" t="str">
        <f t="shared" si="29"/>
        <v>n/a</v>
      </c>
      <c r="M54" s="47">
        <f t="shared" si="30"/>
        <v>5.8125340963318783E-2</v>
      </c>
      <c r="N54" s="13" t="str">
        <f ca="1">IFERROR(_xludf.XLOOKUP(K$4,Years,WholeFoods_SuccessorRevenue)/_xludf.XLOOKUP(K$4-1,Years,WholeFoods_SuccessorRevenue)-1,"n/a")</f>
        <v>n/a</v>
      </c>
    </row>
    <row r="56" spans="1:14" x14ac:dyDescent="0.3">
      <c r="A56" s="13" t="s">
        <v>202</v>
      </c>
    </row>
  </sheetData>
  <mergeCells count="7">
    <mergeCell ref="A13:M13"/>
    <mergeCell ref="A27:M27"/>
    <mergeCell ref="A6:M6"/>
    <mergeCell ref="A34:M34"/>
    <mergeCell ref="A48:M48"/>
    <mergeCell ref="A20:M20"/>
    <mergeCell ref="A41:M41"/>
  </mergeCells>
  <conditionalFormatting sqref="B6:M56">
    <cfRule type="expression" dxfId="7" priority="1">
      <formula>ISTEXT(B6)</formula>
    </cfRule>
  </conditionalFormatting>
  <printOptions horizontalCentered="1"/>
  <pageMargins left="0.75" right="0.75" top="1" bottom="1" header="0.5" footer="0.5"/>
  <pageSetup fitToHeight="0" orientation="landscape"/>
  <headerFooter>
    <oddFooter>&amp;CCompetitor Scorecard – Ryan Barry – &amp;D&amp;RPage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J21"/>
  <sheetViews>
    <sheetView showGridLines="0" workbookViewId="0">
      <pane ySplit="5" topLeftCell="A6" activePane="bottomLeft" state="frozen"/>
      <selection pane="bottomLeft"/>
    </sheetView>
  </sheetViews>
  <sheetFormatPr defaultRowHeight="14.4" x14ac:dyDescent="0.3"/>
  <cols>
    <col min="1" max="1" width="34" customWidth="1"/>
    <col min="2" max="7" width="12" customWidth="1"/>
    <col min="8" max="9" width="13" customWidth="1"/>
    <col min="10" max="10" width="90" customWidth="1"/>
  </cols>
  <sheetData>
    <row r="1" spans="1:10" ht="13.95" customHeight="1" x14ac:dyDescent="0.3">
      <c r="A1" s="20" t="s">
        <v>203</v>
      </c>
      <c r="B1" s="1"/>
      <c r="C1" s="1"/>
      <c r="D1" s="1"/>
      <c r="E1" s="1"/>
      <c r="F1" s="1"/>
      <c r="G1" s="1"/>
      <c r="H1" s="1"/>
      <c r="I1" s="1"/>
      <c r="J1" s="14" t="s">
        <v>36</v>
      </c>
    </row>
    <row r="2" spans="1:10" ht="31.95" customHeight="1" x14ac:dyDescent="0.3">
      <c r="A2" s="16" t="s">
        <v>27</v>
      </c>
      <c r="B2" s="15"/>
      <c r="C2" s="15"/>
      <c r="D2" s="15"/>
      <c r="E2" s="15"/>
      <c r="F2" s="15"/>
      <c r="G2" s="15"/>
      <c r="H2" s="15"/>
      <c r="I2" s="15"/>
      <c r="J2" s="50" t="s">
        <v>204</v>
      </c>
    </row>
    <row r="3" spans="1:10" ht="22.05" customHeight="1" x14ac:dyDescent="0.3">
      <c r="A3" s="51" t="s">
        <v>205</v>
      </c>
      <c r="B3" s="52">
        <v>2025</v>
      </c>
      <c r="C3" s="13" t="s">
        <v>206</v>
      </c>
    </row>
    <row r="5" spans="1:10" ht="22.05" customHeight="1" x14ac:dyDescent="0.3">
      <c r="A5" s="18" t="s">
        <v>207</v>
      </c>
      <c r="B5" s="22" t="s">
        <v>208</v>
      </c>
      <c r="C5" s="22" t="s">
        <v>190</v>
      </c>
      <c r="D5" s="22" t="s">
        <v>191</v>
      </c>
      <c r="E5" s="22" t="s">
        <v>192</v>
      </c>
      <c r="F5" s="22" t="s">
        <v>193</v>
      </c>
      <c r="G5" s="22" t="s">
        <v>194</v>
      </c>
      <c r="H5" s="22" t="s">
        <v>209</v>
      </c>
      <c r="I5" s="22" t="s">
        <v>210</v>
      </c>
      <c r="J5" s="22" t="s">
        <v>211</v>
      </c>
    </row>
    <row r="6" spans="1:10" ht="46.05" customHeight="1" x14ac:dyDescent="0.3">
      <c r="A6" s="53" t="s">
        <v>212</v>
      </c>
      <c r="B6" s="54" t="s">
        <v>213</v>
      </c>
      <c r="C6" s="55">
        <f>IFERROR(_xlfn.XLOOKUP(ScorecardYear,RatioYears,GM_Walmart),"n/a")</f>
        <v>0.24209350620670911</v>
      </c>
      <c r="D6" s="55">
        <f>IFERROR(_xlfn.XLOOKUP(ScorecardYear,RatioYears,GM_Costco),"n/a")</f>
        <v>0.11124366460179615</v>
      </c>
      <c r="E6" s="55">
        <f>IFERROR(_xlfn.XLOOKUP(ScorecardYear,RatioYears,GM_Kroger),"n/a")</f>
        <v>0.23300957722057408</v>
      </c>
      <c r="F6" s="55">
        <f>IFERROR(_xlfn.XLOOKUP(ScorecardYear,RatioYears,GM_SamsClub),"n/a")</f>
        <v>0.11348707197763802</v>
      </c>
      <c r="G6" s="55" t="str">
        <f>IFERROR(_xlfn.XLOOKUP(ScorecardYear,RatioYears,GM_WholeFoods),"n/a")</f>
        <v>n/a</v>
      </c>
      <c r="H6" s="56" t="str">
        <f>IFERROR(INDEX($C$5:$G$5,MATCH(MAX(C6:G6),C6:G6,0)),"n/a")</f>
        <v>Walmart</v>
      </c>
      <c r="I6" s="57" t="str">
        <f>IFERROR(INDEX($C$5:$G$5,MATCH(MIN(C6:G6),C6:G6,0)),"n/a")</f>
        <v>Costco</v>
      </c>
      <c r="J6" s="58" t="str">
        <f>"FY"&amp;ScorecardYear&amp;": "&amp;H6&amp;" leads at "&amp;TEXT(MAX(C6:G6),"0.0%")&amp;", "&amp;I6&amp;" trails at "&amp;TEXT(MIN(C6:G6),"0.0%")&amp;". Level reflects business model, not execution: warehouse clubs (Costco, Sam's Club) run 10–12% on net sales, supercenters and supermarkets 22–25%. Compare each company's trend on the Trend tab, not levels across models."</f>
        <v>FY2025: Walmart leads at 24.2%, Costco trails at 11.1%. Level reflects business model, not execution: warehouse clubs (Costco, Sam's Club) run 10–12% on net sales, supercenters and supermarkets 22–25%. Compare each company's trend on the Trend tab, not levels across models.</v>
      </c>
    </row>
    <row r="7" spans="1:10" x14ac:dyDescent="0.3">
      <c r="A7" s="59" t="s">
        <v>214</v>
      </c>
      <c r="B7" s="60"/>
      <c r="C7" s="45" t="str">
        <f>IFERROR("#"&amp;_xlfn.RANK.EQ(C6,C6:G6,0)&amp;" of "&amp;COUNT(C6:G6),"–")</f>
        <v>#1 of 4</v>
      </c>
      <c r="D7" s="45" t="str">
        <f>IFERROR("#"&amp;_xlfn.RANK.EQ(D6,C6:G6,0)&amp;" of "&amp;COUNT(C6:G6),"–")</f>
        <v>#4 of 4</v>
      </c>
      <c r="E7" s="45" t="str">
        <f>IFERROR("#"&amp;_xlfn.RANK.EQ(E6,C6:G6,0)&amp;" of "&amp;COUNT(C6:G6),"–")</f>
        <v>#2 of 4</v>
      </c>
      <c r="F7" s="45" t="str">
        <f>IFERROR("#"&amp;_xlfn.RANK.EQ(F6,C6:G6,0)&amp;" of "&amp;COUNT(C6:G6),"–")</f>
        <v>#3 of 4</v>
      </c>
      <c r="G7" s="45" t="str">
        <f>IFERROR("#"&amp;_xlfn.RANK.EQ(G6,C6:G6,0)&amp;" of "&amp;COUNT(C6:G6),"–")</f>
        <v>–</v>
      </c>
      <c r="H7" s="60"/>
      <c r="I7" s="60"/>
      <c r="J7" s="60"/>
    </row>
    <row r="8" spans="1:10" ht="46.05" customHeight="1" x14ac:dyDescent="0.3">
      <c r="A8" s="53" t="s">
        <v>215</v>
      </c>
      <c r="B8" s="54" t="s">
        <v>213</v>
      </c>
      <c r="C8" s="55">
        <f>IFERROR(_xlfn.XLOOKUP(ScorecardYear,RatioYears,OM_Walmart),"n/a")</f>
        <v>4.222034418958881E-2</v>
      </c>
      <c r="D8" s="55">
        <f>IFERROR(_xlfn.XLOOKUP(ScorecardYear,RatioYears,OM_Costco),"n/a")</f>
        <v>3.8468093304484426E-2</v>
      </c>
      <c r="E8" s="55">
        <f>IFERROR(_xlfn.XLOOKUP(ScorecardYear,RatioYears,OM_Kroger),"n/a")</f>
        <v>1.2801235420815215E-2</v>
      </c>
      <c r="F8" s="55">
        <f>IFERROR(_xlfn.XLOOKUP(ScorecardYear,RatioYears,OM_SamsClub),"n/a")</f>
        <v>2.6253830027414934E-2</v>
      </c>
      <c r="G8" s="55" t="str">
        <f>IFERROR(_xlfn.XLOOKUP(ScorecardYear,RatioYears,OM_WholeFoods),"n/a")</f>
        <v>n/a</v>
      </c>
      <c r="H8" s="56" t="str">
        <f>IFERROR(INDEX($C$5:$G$5,MATCH(MAX(C8:G8),C8:G8,0)),"n/a")</f>
        <v>Walmart</v>
      </c>
      <c r="I8" s="57" t="str">
        <f>IFERROR(INDEX($C$5:$G$5,MATCH(MIN(C8:G8),C8:G8,0)),"n/a")</f>
        <v>Kroger</v>
      </c>
      <c r="J8" s="58" t="str">
        <f>"FY"&amp;ScorecardYear&amp;": "&amp;H8&amp;" leads at "&amp;TEXT(MAX(C8:G8),"0.0%")&amp;", "&amp;I8&amp;" trails at "&amp;TEXT(MIN(C8:G8),"0.0%")&amp;". Operating margin isolates cost discipline below gross profit. Costco's has risen steadily; Kroger's FY2025 figure carries $2.7B of restructuring and impairment charges."</f>
        <v>FY2025: Walmart leads at 4.2%, Kroger trails at 1.3%. Operating margin isolates cost discipline below gross profit. Costco's has risen steadily; Kroger's FY2025 figure carries $2.7B of restructuring and impairment charges.</v>
      </c>
    </row>
    <row r="9" spans="1:10" x14ac:dyDescent="0.3">
      <c r="A9" s="59" t="s">
        <v>214</v>
      </c>
      <c r="B9" s="60"/>
      <c r="C9" s="45" t="str">
        <f>IFERROR("#"&amp;_xlfn.RANK.EQ(C8,C8:G8,0)&amp;" of "&amp;COUNT(C8:G8),"–")</f>
        <v>#1 of 4</v>
      </c>
      <c r="D9" s="45" t="str">
        <f>IFERROR("#"&amp;_xlfn.RANK.EQ(D8,C8:G8,0)&amp;" of "&amp;COUNT(C8:G8),"–")</f>
        <v>#2 of 4</v>
      </c>
      <c r="E9" s="45" t="str">
        <f>IFERROR("#"&amp;_xlfn.RANK.EQ(E8,C8:G8,0)&amp;" of "&amp;COUNT(C8:G8),"–")</f>
        <v>#4 of 4</v>
      </c>
      <c r="F9" s="45" t="str">
        <f>IFERROR("#"&amp;_xlfn.RANK.EQ(F8,C8:G8,0)&amp;" of "&amp;COUNT(C8:G8),"–")</f>
        <v>#3 of 4</v>
      </c>
      <c r="G9" s="45" t="str">
        <f>IFERROR("#"&amp;_xlfn.RANK.EQ(G8,C8:G8,0)&amp;" of "&amp;COUNT(C8:G8),"–")</f>
        <v>–</v>
      </c>
      <c r="H9" s="60"/>
      <c r="I9" s="60"/>
      <c r="J9" s="60"/>
    </row>
    <row r="10" spans="1:10" ht="46.05" customHeight="1" x14ac:dyDescent="0.3">
      <c r="A10" s="53" t="s">
        <v>216</v>
      </c>
      <c r="B10" s="54" t="s">
        <v>213</v>
      </c>
      <c r="C10" s="55">
        <f>IFERROR(_xlfn.XLOOKUP(ScorecardYear,RatioYears,NM_Walmart),"n/a")</f>
        <v>3.0991785258765055E-2</v>
      </c>
      <c r="D10" s="55">
        <f>IFERROR(_xlfn.XLOOKUP(ScorecardYear,RatioYears,NM_Costco),"n/a")</f>
        <v>3.0006076054417737E-2</v>
      </c>
      <c r="E10" s="55">
        <f>IFERROR(_xlfn.XLOOKUP(ScorecardYear,RatioYears,NM_Kroger),"n/a")</f>
        <v>6.8815106812424648E-3</v>
      </c>
      <c r="F10" s="55" t="str">
        <f>IFERROR(_xlfn.XLOOKUP(ScorecardYear,RatioYears,NM_SamsClub),"n/a")</f>
        <v>n/a</v>
      </c>
      <c r="G10" s="55" t="str">
        <f>IFERROR(_xlfn.XLOOKUP(ScorecardYear,RatioYears,NM_WholeFoods),"n/a")</f>
        <v>n/a</v>
      </c>
      <c r="H10" s="56" t="str">
        <f>IFERROR(INDEX($C$5:$G$5,MATCH(MAX(C10:G10),C10:G10,0)),"n/a")</f>
        <v>Walmart</v>
      </c>
      <c r="I10" s="57" t="str">
        <f>IFERROR(INDEX($C$5:$G$5,MATCH(MIN(C10:G10),C10:G10,0)),"n/a")</f>
        <v>Kroger</v>
      </c>
      <c r="J10" s="58" t="str">
        <f>"FY"&amp;ScorecardYear&amp;": "&amp;H10&amp;" leads at "&amp;TEXT(MAX(C10:G10),"0.0%")&amp;", "&amp;I10&amp;" trails at "&amp;TEXT(MIN(C10:G10),"0.0%")&amp;". The cleanest cross-model comparison. Costco converts the thinnest gross margin into the highest net margin through membership fees and SG&amp;A control."</f>
        <v>FY2025: Walmart leads at 3.1%, Kroger trails at 0.7%. The cleanest cross-model comparison. Costco converts the thinnest gross margin into the highest net margin through membership fees and SG&amp;A control.</v>
      </c>
    </row>
    <row r="11" spans="1:10" x14ac:dyDescent="0.3">
      <c r="A11" s="59" t="s">
        <v>214</v>
      </c>
      <c r="B11" s="60"/>
      <c r="C11" s="45" t="str">
        <f>IFERROR("#"&amp;_xlfn.RANK.EQ(C10,C10:G10,0)&amp;" of "&amp;COUNT(C10:G10),"–")</f>
        <v>#1 of 3</v>
      </c>
      <c r="D11" s="45" t="str">
        <f>IFERROR("#"&amp;_xlfn.RANK.EQ(D10,C10:G10,0)&amp;" of "&amp;COUNT(C10:G10),"–")</f>
        <v>#2 of 3</v>
      </c>
      <c r="E11" s="45" t="str">
        <f>IFERROR("#"&amp;_xlfn.RANK.EQ(E10,C10:G10,0)&amp;" of "&amp;COUNT(C10:G10),"–")</f>
        <v>#3 of 3</v>
      </c>
      <c r="F11" s="45" t="str">
        <f>IFERROR("#"&amp;_xlfn.RANK.EQ(F10,C10:G10,0)&amp;" of "&amp;COUNT(C10:G10),"–")</f>
        <v>–</v>
      </c>
      <c r="G11" s="45" t="str">
        <f>IFERROR("#"&amp;_xlfn.RANK.EQ(G10,C10:G10,0)&amp;" of "&amp;COUNT(C10:G10),"–")</f>
        <v>–</v>
      </c>
      <c r="H11" s="60"/>
      <c r="I11" s="60"/>
      <c r="J11" s="60"/>
    </row>
    <row r="12" spans="1:10" ht="46.05" customHeight="1" x14ac:dyDescent="0.3">
      <c r="A12" s="53" t="s">
        <v>217</v>
      </c>
      <c r="B12" s="54" t="s">
        <v>213</v>
      </c>
      <c r="C12" s="61">
        <f>IFERROR(_xlfn.XLOOKUP(ScorecardYear,RatioYears,CR_Walmart),"n/a")</f>
        <v>0.78975332421442468</v>
      </c>
      <c r="D12" s="61">
        <f>IFERROR(_xlfn.XLOOKUP(ScorecardYear,RatioYears,CR_Costco),"n/a")</f>
        <v>1.0342783227336423</v>
      </c>
      <c r="E12" s="61">
        <f>IFERROR(_xlfn.XLOOKUP(ScorecardYear,RatioYears,CR_Kroger),"n/a")</f>
        <v>0.80102717031146453</v>
      </c>
      <c r="F12" s="61" t="str">
        <f>IFERROR(_xlfn.XLOOKUP(ScorecardYear,RatioYears,CR_SamsClub),"n/a")</f>
        <v>n/a</v>
      </c>
      <c r="G12" s="61" t="str">
        <f>IFERROR(_xlfn.XLOOKUP(ScorecardYear,RatioYears,CR_WholeFoods),"n/a")</f>
        <v>n/a</v>
      </c>
      <c r="H12" s="56" t="str">
        <f>IFERROR(INDEX($C$5:$G$5,MATCH(MAX(C12:G12),C12:G12,0)),"n/a")</f>
        <v>Costco</v>
      </c>
      <c r="I12" s="57" t="str">
        <f>IFERROR(INDEX($C$5:$G$5,MATCH(MIN(C12:G12),C12:G12,0)),"n/a")</f>
        <v>Walmart</v>
      </c>
      <c r="J12" s="58" t="str">
        <f>"FY"&amp;ScorecardYear&amp;": "&amp;H12&amp;" leads at "&amp;TEXT(MAX(C12:G12),"0.00")&amp;"x"&amp;", "&amp;I12&amp;" trails at "&amp;TEXT(MIN(C12:G12),"0.00")&amp;"x"&amp;". Grocers and clubs run near or below 1.0x by design – inventory turns faster than suppliers are paid. A ratio above 1.0x is rare in this set and is Costco's alone."</f>
        <v>FY2025: Costco leads at 1.03x, Walmart trails at 0.79x. Grocers and clubs run near or below 1.0x by design – inventory turns faster than suppliers are paid. A ratio above 1.0x is rare in this set and is Costco's alone.</v>
      </c>
    </row>
    <row r="13" spans="1:10" x14ac:dyDescent="0.3">
      <c r="A13" s="59" t="s">
        <v>214</v>
      </c>
      <c r="B13" s="60"/>
      <c r="C13" s="45" t="str">
        <f>IFERROR("#"&amp;_xlfn.RANK.EQ(C12,C12:G12,0)&amp;" of "&amp;COUNT(C12:G12),"–")</f>
        <v>#3 of 3</v>
      </c>
      <c r="D13" s="45" t="str">
        <f>IFERROR("#"&amp;_xlfn.RANK.EQ(D12,C12:G12,0)&amp;" of "&amp;COUNT(C12:G12),"–")</f>
        <v>#1 of 3</v>
      </c>
      <c r="E13" s="45" t="str">
        <f>IFERROR("#"&amp;_xlfn.RANK.EQ(E12,C12:G12,0)&amp;" of "&amp;COUNT(C12:G12),"–")</f>
        <v>#2 of 3</v>
      </c>
      <c r="F13" s="45" t="str">
        <f>IFERROR("#"&amp;_xlfn.RANK.EQ(F12,C12:G12,0)&amp;" of "&amp;COUNT(C12:G12),"–")</f>
        <v>–</v>
      </c>
      <c r="G13" s="45" t="str">
        <f>IFERROR("#"&amp;_xlfn.RANK.EQ(G12,C12:G12,0)&amp;" of "&amp;COUNT(C12:G12),"–")</f>
        <v>–</v>
      </c>
      <c r="H13" s="60"/>
      <c r="I13" s="60"/>
      <c r="J13" s="60"/>
    </row>
    <row r="14" spans="1:10" ht="46.05" customHeight="1" x14ac:dyDescent="0.3">
      <c r="A14" s="53" t="s">
        <v>218</v>
      </c>
      <c r="B14" s="54" t="s">
        <v>219</v>
      </c>
      <c r="C14" s="61">
        <f>IFERROR(_xlfn.XLOOKUP(ScorecardYear,RatioYears,DE_Walmart),"n/a")</f>
        <v>0.48658475544684426</v>
      </c>
      <c r="D14" s="61">
        <f>IFERROR(_xlfn.XLOOKUP(ScorecardYear,RatioYears,DE_Costco),"n/a")</f>
        <v>0.24917706761761074</v>
      </c>
      <c r="E14" s="61">
        <f>IFERROR(_xlfn.XLOOKUP(ScorecardYear,RatioYears,DE_Kroger),"n/a")</f>
        <v>2.9592318059299192</v>
      </c>
      <c r="F14" s="61" t="str">
        <f>IFERROR(_xlfn.XLOOKUP(ScorecardYear,RatioYears,DE_SamsClub),"n/a")</f>
        <v>n/a</v>
      </c>
      <c r="G14" s="61" t="str">
        <f>IFERROR(_xlfn.XLOOKUP(ScorecardYear,RatioYears,DE_WholeFoods),"n/a")</f>
        <v>n/a</v>
      </c>
      <c r="H14" s="56" t="str">
        <f>IFERROR(INDEX($C$5:$G$5,MATCH(MIN(C14:G14),C14:G14,0)),"n/a")</f>
        <v>Costco</v>
      </c>
      <c r="I14" s="57" t="str">
        <f>IFERROR(INDEX($C$5:$G$5,MATCH(MAX(C14:G14),C14:G14,0)),"n/a")</f>
        <v>Kroger</v>
      </c>
      <c r="J14" s="58" t="str">
        <f>"FY"&amp;ScorecardYear&amp;": "&amp;H14&amp;" leads at "&amp;TEXT(MIN(C14:G14),"0.00")&amp;"x"&amp;", "&amp;I14&amp;" trails at "&amp;TEXT(MAX(C14:G14),"0.00")&amp;"x"&amp;". Kroger's debt-to-equity is a multiple of its peers' after the FY2024 $10.5B debt issue and $6.9B of FY2024–25 buybacks; Costco has de-levered every year since FY2021."</f>
        <v>FY2025: Costco leads at 0.25x, Kroger trails at 2.96x. Kroger's debt-to-equity is a multiple of its peers' after the FY2024 $10.5B debt issue and $6.9B of FY2024–25 buybacks; Costco has de-levered every year since FY2021.</v>
      </c>
    </row>
    <row r="15" spans="1:10" x14ac:dyDescent="0.3">
      <c r="A15" s="59" t="s">
        <v>214</v>
      </c>
      <c r="B15" s="60"/>
      <c r="C15" s="45" t="str">
        <f>IFERROR("#"&amp;_xlfn.RANK.EQ(C14,C14:G14,1)&amp;" of "&amp;COUNT(C14:G14),"–")</f>
        <v>#2 of 3</v>
      </c>
      <c r="D15" s="45" t="str">
        <f>IFERROR("#"&amp;_xlfn.RANK.EQ(D14,C14:G14,1)&amp;" of "&amp;COUNT(C14:G14),"–")</f>
        <v>#1 of 3</v>
      </c>
      <c r="E15" s="45" t="str">
        <f>IFERROR("#"&amp;_xlfn.RANK.EQ(E14,C14:G14,1)&amp;" of "&amp;COUNT(C14:G14),"–")</f>
        <v>#3 of 3</v>
      </c>
      <c r="F15" s="45" t="str">
        <f>IFERROR("#"&amp;_xlfn.RANK.EQ(F14,C14:G14,1)&amp;" of "&amp;COUNT(C14:G14),"–")</f>
        <v>–</v>
      </c>
      <c r="G15" s="45" t="str">
        <f>IFERROR("#"&amp;_xlfn.RANK.EQ(G14,C14:G14,1)&amp;" of "&amp;COUNT(C14:G14),"–")</f>
        <v>–</v>
      </c>
      <c r="H15" s="60"/>
      <c r="I15" s="60"/>
      <c r="J15" s="60"/>
    </row>
    <row r="16" spans="1:10" ht="46.05" customHeight="1" x14ac:dyDescent="0.3">
      <c r="A16" s="53" t="s">
        <v>220</v>
      </c>
      <c r="B16" s="54" t="s">
        <v>213</v>
      </c>
      <c r="C16" s="55">
        <f>IFERROR(_xlfn.XLOOKUP(ScorecardYear,RatioYears,GR_Walmart),"n/a")</f>
        <v>4.7254565346948496E-2</v>
      </c>
      <c r="D16" s="55">
        <f>IFERROR(_xlfn.XLOOKUP(ScorecardYear,RatioYears,GR_Costco),"n/a")</f>
        <v>8.1269904857286024E-2</v>
      </c>
      <c r="E16" s="55">
        <f>IFERROR(_xlfn.XLOOKUP(ScorecardYear,RatioYears,GR_Kroger),"n/a")</f>
        <v>3.5276605289451535E-3</v>
      </c>
      <c r="F16" s="55">
        <f>IFERROR(_xlfn.XLOOKUP(ScorecardYear,RatioYears,GR_SamsClub),"n/a")</f>
        <v>3.077417495955137E-2</v>
      </c>
      <c r="G16" s="55" t="str">
        <f>IFERROR(_xlfn.XLOOKUP(ScorecardYear,RatioYears,GR_WholeFoods),"n/a")</f>
        <v>n/a</v>
      </c>
      <c r="H16" s="56" t="str">
        <f>IFERROR(INDEX($C$5:$G$5,MATCH(MAX(C16:G16),C16:G16,0)),"n/a")</f>
        <v>Costco</v>
      </c>
      <c r="I16" s="57" t="str">
        <f>IFERROR(INDEX($C$5:$G$5,MATCH(MIN(C16:G16),C16:G16,0)),"n/a")</f>
        <v>Kroger</v>
      </c>
      <c r="J16" s="58" t="str">
        <f>"FY"&amp;ScorecardYear&amp;": "&amp;H16&amp;" leads at "&amp;TEXT(MAX(C16:G16),"0.0%")&amp;", "&amp;I16&amp;" trails at "&amp;TEXT(MIN(C16:G16),"0.0%")&amp;". Costco has led growth in nearly every year of the window; Kroger's revenue has been flat to down since FY2022."</f>
        <v>FY2025: Costco leads at 8.1%, Kroger trails at 0.4%. Costco has led growth in nearly every year of the window; Kroger's revenue has been flat to down since FY2022.</v>
      </c>
    </row>
    <row r="17" spans="1:10" x14ac:dyDescent="0.3">
      <c r="A17" s="59" t="s">
        <v>214</v>
      </c>
      <c r="B17" s="60"/>
      <c r="C17" s="45" t="str">
        <f>IFERROR("#"&amp;_xlfn.RANK.EQ(C16,C16:G16,0)&amp;" of "&amp;COUNT(C16:G16),"–")</f>
        <v>#2 of 4</v>
      </c>
      <c r="D17" s="45" t="str">
        <f>IFERROR("#"&amp;_xlfn.RANK.EQ(D16,C16:G16,0)&amp;" of "&amp;COUNT(C16:G16),"–")</f>
        <v>#1 of 4</v>
      </c>
      <c r="E17" s="45" t="str">
        <f>IFERROR("#"&amp;_xlfn.RANK.EQ(E16,C16:G16,0)&amp;" of "&amp;COUNT(C16:G16),"–")</f>
        <v>#4 of 4</v>
      </c>
      <c r="F17" s="45" t="str">
        <f>IFERROR("#"&amp;_xlfn.RANK.EQ(F16,C16:G16,0)&amp;" of "&amp;COUNT(C16:G16),"–")</f>
        <v>#3 of 4</v>
      </c>
      <c r="G17" s="45" t="str">
        <f>IFERROR("#"&amp;_xlfn.RANK.EQ(G16,C16:G16,0)&amp;" of "&amp;COUNT(C16:G16),"–")</f>
        <v>–</v>
      </c>
      <c r="H17" s="60"/>
      <c r="I17" s="60"/>
      <c r="J17" s="60"/>
    </row>
    <row r="19" spans="1:10" ht="40.049999999999997" customHeight="1" x14ac:dyDescent="0.3">
      <c r="A19" s="62" t="s">
        <v>221</v>
      </c>
      <c r="B19" s="54" t="s">
        <v>219</v>
      </c>
      <c r="C19" s="63">
        <f>IFERROR(AVERAGE(IFERROR(_xlfn.RANK.EQ(C6,C6:G6,0),""),IFERROR(_xlfn.RANK.EQ(C10,C10:G10,0),""),IFERROR(_xlfn.RANK.EQ(C12,C12:G12,0),""),IFERROR(_xlfn.RANK.EQ(C14,C14:G14,1),""),IFERROR(_xlfn.RANK.EQ(C16,C16:G16,0),"")),"n/a")</f>
        <v>1.8</v>
      </c>
      <c r="D19" s="63">
        <f>IFERROR(AVERAGE(IFERROR(_xlfn.RANK.EQ(D6,C6:G6,0),""),IFERROR(_xlfn.RANK.EQ(D10,C10:G10,0),""),IFERROR(_xlfn.RANK.EQ(D12,C12:G12,0),""),IFERROR(_xlfn.RANK.EQ(D14,C14:G14,1),""),IFERROR(_xlfn.RANK.EQ(D16,C16:G16,0),"")),"n/a")</f>
        <v>1.8</v>
      </c>
      <c r="E19" s="63">
        <f>IFERROR(AVERAGE(IFERROR(_xlfn.RANK.EQ(E6,C6:G6,0),""),IFERROR(_xlfn.RANK.EQ(E10,C10:G10,0),""),IFERROR(_xlfn.RANK.EQ(E12,C12:G12,0),""),IFERROR(_xlfn.RANK.EQ(E14,C14:G14,1),""),IFERROR(_xlfn.RANK.EQ(E16,C16:G16,0),"")),"n/a")</f>
        <v>2.8</v>
      </c>
      <c r="F19" s="63" t="str">
        <f>IFERROR(AVERAGE(IFERROR(_xlfn.RANK.EQ(F6,C6:G6,0),""),IFERROR(_xlfn.RANK.EQ(F10,C10:G10,0),""),IFERROR(_xlfn.RANK.EQ(F12,C12:G12,0),""),IFERROR(_xlfn.RANK.EQ(F14,C14:G14,1),""),IFERROR(_xlfn.RANK.EQ(F16,C16:G16,0),"")),"n/a")</f>
        <v>n/a</v>
      </c>
      <c r="G19" s="63" t="str">
        <f>IFERROR(AVERAGE(IFERROR(_xlfn.RANK.EQ(G6,C6:G6,0),""),IFERROR(_xlfn.RANK.EQ(G10,C10:G10,0),""),IFERROR(_xlfn.RANK.EQ(G12,C12:G12,0),""),IFERROR(_xlfn.RANK.EQ(G14,C14:G14,1),""),IFERROR(_xlfn.RANK.EQ(G16,C16:G16,0),"")),"n/a")</f>
        <v>n/a</v>
      </c>
      <c r="H19" s="56" t="str">
        <f>IFERROR(INDEX($C$5:$G$5,MATCH(MIN(C19:G19),C19:G19,0)),"n/a")</f>
        <v>Walmart</v>
      </c>
      <c r="I19" s="57" t="str">
        <f>IFERROR(INDEX($C$5:$G$5,MATCH(MAX(C19:G19),C19:G19,0)),"n/a")</f>
        <v>Kroger</v>
      </c>
      <c r="J19" s="64" t="s">
        <v>222</v>
      </c>
    </row>
    <row r="21" spans="1:10" x14ac:dyDescent="0.3">
      <c r="A21" s="13" t="s">
        <v>223</v>
      </c>
    </row>
  </sheetData>
  <conditionalFormatting sqref="C6:G6">
    <cfRule type="colorScale" priority="1">
      <colorScale>
        <cfvo type="min"/>
        <cfvo type="percentile" val="50"/>
        <cfvo type="max"/>
        <color rgb="FFF8696B"/>
        <color rgb="FFFFEB84"/>
        <color rgb="FF63BE7B"/>
      </colorScale>
    </cfRule>
    <cfRule type="expression" dxfId="6" priority="2">
      <formula>ISTEXT(C6)</formula>
    </cfRule>
  </conditionalFormatting>
  <conditionalFormatting sqref="C8:G8">
    <cfRule type="colorScale" priority="3">
      <colorScale>
        <cfvo type="min"/>
        <cfvo type="percentile" val="50"/>
        <cfvo type="max"/>
        <color rgb="FFF8696B"/>
        <color rgb="FFFFEB84"/>
        <color rgb="FF63BE7B"/>
      </colorScale>
    </cfRule>
    <cfRule type="expression" dxfId="5" priority="4">
      <formula>ISTEXT(C8)</formula>
    </cfRule>
  </conditionalFormatting>
  <conditionalFormatting sqref="C10:G10">
    <cfRule type="colorScale" priority="5">
      <colorScale>
        <cfvo type="min"/>
        <cfvo type="percentile" val="50"/>
        <cfvo type="max"/>
        <color rgb="FFF8696B"/>
        <color rgb="FFFFEB84"/>
        <color rgb="FF63BE7B"/>
      </colorScale>
    </cfRule>
    <cfRule type="expression" dxfId="4" priority="6">
      <formula>ISTEXT(C10)</formula>
    </cfRule>
  </conditionalFormatting>
  <conditionalFormatting sqref="C12:G12">
    <cfRule type="colorScale" priority="7">
      <colorScale>
        <cfvo type="min"/>
        <cfvo type="percentile" val="50"/>
        <cfvo type="max"/>
        <color rgb="FFF8696B"/>
        <color rgb="FFFFEB84"/>
        <color rgb="FF63BE7B"/>
      </colorScale>
    </cfRule>
    <cfRule type="expression" dxfId="3" priority="8">
      <formula>ISTEXT(C12)</formula>
    </cfRule>
  </conditionalFormatting>
  <conditionalFormatting sqref="C14:G14">
    <cfRule type="colorScale" priority="9">
      <colorScale>
        <cfvo type="min"/>
        <cfvo type="percentile" val="50"/>
        <cfvo type="max"/>
        <color rgb="FF63BE7B"/>
        <color rgb="FFFFEB84"/>
        <color rgb="FFF8696B"/>
      </colorScale>
    </cfRule>
    <cfRule type="expression" dxfId="2" priority="10">
      <formula>ISTEXT(C14)</formula>
    </cfRule>
  </conditionalFormatting>
  <conditionalFormatting sqref="C16:G16">
    <cfRule type="colorScale" priority="11">
      <colorScale>
        <cfvo type="min"/>
        <cfvo type="percentile" val="50"/>
        <cfvo type="max"/>
        <color rgb="FFF8696B"/>
        <color rgb="FFFFEB84"/>
        <color rgb="FF63BE7B"/>
      </colorScale>
    </cfRule>
    <cfRule type="expression" dxfId="1" priority="12">
      <formula>ISTEXT(C16)</formula>
    </cfRule>
  </conditionalFormatting>
  <conditionalFormatting sqref="C19:G19">
    <cfRule type="colorScale" priority="13">
      <colorScale>
        <cfvo type="min"/>
        <cfvo type="percentile" val="50"/>
        <cfvo type="max"/>
        <color rgb="FF63BE7B"/>
        <color rgb="FFFFEB84"/>
        <color rgb="FFF8696B"/>
      </colorScale>
    </cfRule>
    <cfRule type="expression" dxfId="0" priority="14">
      <formula>ISTEXT(C19)</formula>
    </cfRule>
  </conditionalFormatting>
  <dataValidations count="1">
    <dataValidation type="list" sqref="B3" xr:uid="{00000000-0002-0000-0400-000000000000}">
      <formula1>"2016,2017,2018,2019,2020,2021,2022,2023,2024,2025"</formula1>
    </dataValidation>
  </dataValidations>
  <printOptions horizontalCentered="1"/>
  <pageMargins left="0.75" right="0.75" top="1" bottom="1" header="0.5" footer="0.5"/>
  <pageSetup fitToHeight="0" orientation="landscape"/>
  <headerFooter>
    <oddFooter>&amp;CCompetitor Scorecard – Ryan Barry – &amp;D&amp;RPage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T108"/>
  <sheetViews>
    <sheetView showGridLines="0" workbookViewId="0"/>
  </sheetViews>
  <sheetFormatPr defaultRowHeight="14.4" x14ac:dyDescent="0.3"/>
  <cols>
    <col min="1" max="1" width="18" customWidth="1"/>
    <col min="2" max="23" width="9" customWidth="1"/>
  </cols>
  <sheetData>
    <row r="1" spans="1:20" ht="13.95" customHeight="1" x14ac:dyDescent="0.3">
      <c r="A1" s="20" t="s">
        <v>224</v>
      </c>
      <c r="B1" s="1"/>
      <c r="C1" s="1"/>
      <c r="D1" s="1"/>
      <c r="E1" s="1"/>
      <c r="F1" s="1"/>
      <c r="G1" s="1"/>
      <c r="H1" s="1"/>
      <c r="I1" s="1"/>
      <c r="J1" s="1"/>
      <c r="K1" s="1"/>
      <c r="L1" s="1"/>
      <c r="M1" s="1"/>
      <c r="N1" s="1"/>
      <c r="O1" s="1"/>
      <c r="P1" s="1"/>
      <c r="Q1" s="1"/>
      <c r="R1" s="1"/>
      <c r="S1" s="1"/>
      <c r="T1" s="14" t="s">
        <v>36</v>
      </c>
    </row>
    <row r="2" spans="1:20" ht="31.95" customHeight="1" x14ac:dyDescent="0.3">
      <c r="A2" s="16" t="s">
        <v>29</v>
      </c>
      <c r="B2" s="15"/>
      <c r="C2" s="15"/>
      <c r="D2" s="15"/>
      <c r="E2" s="15"/>
      <c r="F2" s="15"/>
      <c r="G2" s="15"/>
      <c r="H2" s="15"/>
      <c r="I2" s="15"/>
      <c r="J2" s="15"/>
      <c r="K2" s="15"/>
      <c r="L2" s="15"/>
      <c r="M2" s="15"/>
      <c r="N2" s="15"/>
      <c r="O2" s="15"/>
      <c r="P2" s="15"/>
      <c r="Q2" s="15"/>
      <c r="R2" s="15"/>
      <c r="S2" s="15"/>
      <c r="T2" s="15"/>
    </row>
    <row r="3" spans="1:20" ht="18" customHeight="1" x14ac:dyDescent="0.3">
      <c r="A3" s="21" t="s">
        <v>225</v>
      </c>
    </row>
    <row r="4" spans="1:20" ht="15" customHeight="1" x14ac:dyDescent="0.3"/>
    <row r="5" spans="1:20" ht="15" customHeight="1" x14ac:dyDescent="0.3"/>
    <row r="6" spans="1:20" ht="15" customHeight="1" x14ac:dyDescent="0.3"/>
    <row r="7" spans="1:20" ht="15" customHeight="1" x14ac:dyDescent="0.3"/>
    <row r="8" spans="1:20" ht="15" customHeight="1" x14ac:dyDescent="0.3"/>
    <row r="9" spans="1:20" ht="15" customHeight="1" x14ac:dyDescent="0.3"/>
    <row r="10" spans="1:20" ht="15" customHeight="1" x14ac:dyDescent="0.3"/>
    <row r="11" spans="1:20" ht="15" customHeight="1" x14ac:dyDescent="0.3"/>
    <row r="12" spans="1:20" ht="15" customHeight="1" x14ac:dyDescent="0.3"/>
    <row r="13" spans="1:20" ht="15" customHeight="1" x14ac:dyDescent="0.3"/>
    <row r="14" spans="1:20" ht="15" customHeight="1" x14ac:dyDescent="0.3"/>
    <row r="15" spans="1:20" ht="15" customHeight="1" x14ac:dyDescent="0.3"/>
    <row r="16" spans="1:20"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row r="58" ht="15" customHeight="1" x14ac:dyDescent="0.3"/>
    <row r="59" ht="15" customHeight="1" x14ac:dyDescent="0.3"/>
    <row r="60" ht="15" customHeight="1" x14ac:dyDescent="0.3"/>
    <row r="61" ht="15" customHeight="1" x14ac:dyDescent="0.3"/>
    <row r="62" ht="15" customHeight="1" x14ac:dyDescent="0.3"/>
    <row r="63" ht="15" customHeight="1" x14ac:dyDescent="0.3"/>
    <row r="64" ht="15" customHeight="1" x14ac:dyDescent="0.3"/>
    <row r="65" spans="1:11" ht="15" customHeight="1" x14ac:dyDescent="0.3"/>
    <row r="66" spans="1:11" ht="15" customHeight="1" x14ac:dyDescent="0.3"/>
    <row r="67" spans="1:11" ht="15" customHeight="1" x14ac:dyDescent="0.3"/>
    <row r="69" spans="1:11" x14ac:dyDescent="0.3">
      <c r="A69" s="51" t="s">
        <v>226</v>
      </c>
    </row>
    <row r="70" spans="1:11" x14ac:dyDescent="0.3">
      <c r="A70" s="65" t="s">
        <v>227</v>
      </c>
      <c r="B70" s="22" t="s">
        <v>228</v>
      </c>
      <c r="C70" s="22" t="s">
        <v>229</v>
      </c>
      <c r="D70" s="22" t="s">
        <v>230</v>
      </c>
      <c r="E70" s="22" t="s">
        <v>231</v>
      </c>
      <c r="F70" s="22" t="s">
        <v>232</v>
      </c>
      <c r="G70" s="22" t="s">
        <v>233</v>
      </c>
      <c r="H70" s="22" t="s">
        <v>234</v>
      </c>
      <c r="I70" s="22" t="s">
        <v>235</v>
      </c>
      <c r="J70" s="22" t="s">
        <v>236</v>
      </c>
      <c r="K70" s="22" t="s">
        <v>237</v>
      </c>
    </row>
    <row r="71" spans="1:11" x14ac:dyDescent="0.3">
      <c r="A71" s="12" t="s">
        <v>190</v>
      </c>
      <c r="B71" s="66">
        <f>IF(ISNUMBER('Ratio Calculations'!B7),'Ratio Calculations'!B7,NA())</f>
        <v>0.24944267499381903</v>
      </c>
      <c r="C71" s="66">
        <f>IF(ISNUMBER('Ratio Calculations'!C7),'Ratio Calculations'!C7,NA())</f>
        <v>0.24682256167790528</v>
      </c>
      <c r="D71" s="66">
        <f>IF(ISNUMBER('Ratio Calculations'!D7),'Ratio Calculations'!D7,NA())</f>
        <v>0.24499489544979808</v>
      </c>
      <c r="E71" s="66">
        <f>IF(ISNUMBER('Ratio Calculations'!E7),'Ratio Calculations'!E7,NA())</f>
        <v>0.24103622438577799</v>
      </c>
      <c r="F71" s="66">
        <f>IF(ISNUMBER('Ratio Calculations'!F7),'Ratio Calculations'!F7,NA())</f>
        <v>0.24299348201565829</v>
      </c>
      <c r="G71" s="66">
        <f>IF(ISNUMBER('Ratio Calculations'!G7),'Ratio Calculations'!G7,NA())</f>
        <v>0.24440170353070476</v>
      </c>
      <c r="H71" s="66">
        <f>IF(ISNUMBER('Ratio Calculations'!H7),'Ratio Calculations'!H7,NA())</f>
        <v>0.23463353364769649</v>
      </c>
      <c r="I71" s="66">
        <f>IF(ISNUMBER('Ratio Calculations'!I7),'Ratio Calculations'!I7,NA())</f>
        <v>0.23729570504032604</v>
      </c>
      <c r="J71" s="66">
        <f>IF(ISNUMBER('Ratio Calculations'!J7),'Ratio Calculations'!J7,NA())</f>
        <v>0.24132813866676156</v>
      </c>
      <c r="K71" s="66">
        <f>IF(ISNUMBER('Ratio Calculations'!K7),'Ratio Calculations'!K7,NA())</f>
        <v>0.24209350620670911</v>
      </c>
    </row>
    <row r="72" spans="1:11" x14ac:dyDescent="0.3">
      <c r="A72" s="12" t="s">
        <v>191</v>
      </c>
      <c r="B72" s="66">
        <f>IF(ISNUMBER('Ratio Calculations'!B8),'Ratio Calculations'!B8,NA())</f>
        <v>0.11348030980503648</v>
      </c>
      <c r="C72" s="66">
        <f>IF(ISNUMBER('Ratio Calculations'!C8),'Ratio Calculations'!C8,NA())</f>
        <v>0.11325809212820594</v>
      </c>
      <c r="D72" s="66">
        <f>IF(ISNUMBER('Ratio Calculations'!D8),'Ratio Calculations'!D8,NA())</f>
        <v>0.11039195573341809</v>
      </c>
      <c r="E72" s="66">
        <f>IF(ISNUMBER('Ratio Calculations'!E8),'Ratio Calculations'!E8,NA())</f>
        <v>0.11024365421055099</v>
      </c>
      <c r="F72" s="66">
        <f>IF(ISNUMBER('Ratio Calculations'!F8),'Ratio Calculations'!F8,NA())</f>
        <v>0.11200220561205734</v>
      </c>
      <c r="G72" s="66">
        <f>IF(ISNUMBER('Ratio Calculations'!G8),'Ratio Calculations'!G8,NA())</f>
        <v>0.11126153333472184</v>
      </c>
      <c r="H72" s="66">
        <f>IF(ISNUMBER('Ratio Calculations'!H8),'Ratio Calculations'!H8,NA())</f>
        <v>0.10482647151259372</v>
      </c>
      <c r="I72" s="66">
        <f>IF(ISNUMBER('Ratio Calculations'!I8),'Ratio Calculations'!I8,NA())</f>
        <v>0.1056918093475243</v>
      </c>
      <c r="J72" s="66">
        <f>IF(ISNUMBER('Ratio Calculations'!J8),'Ratio Calculations'!J8,NA())</f>
        <v>0.10923184777165748</v>
      </c>
      <c r="K72" s="66">
        <f>IF(ISNUMBER('Ratio Calculations'!K8),'Ratio Calculations'!K8,NA())</f>
        <v>0.11124366460179615</v>
      </c>
    </row>
    <row r="73" spans="1:11" x14ac:dyDescent="0.3">
      <c r="A73" s="12" t="s">
        <v>192</v>
      </c>
      <c r="B73" s="66">
        <f>IF(ISNUMBER('Ratio Calculations'!B9),'Ratio Calculations'!B9,NA())</f>
        <v>0.22399576892064124</v>
      </c>
      <c r="C73" s="66">
        <f>IF(ISNUMBER('Ratio Calculations'!C9),'Ratio Calculations'!C9,NA())</f>
        <v>0.22281797534068787</v>
      </c>
      <c r="D73" s="66">
        <f>IF(ISNUMBER('Ratio Calculations'!D9),'Ratio Calculations'!D9,NA())</f>
        <v>0.21952040179890359</v>
      </c>
      <c r="E73" s="66">
        <f>IF(ISNUMBER('Ratio Calculations'!E9),'Ratio Calculations'!E9,NA())</f>
        <v>0.22072845624192466</v>
      </c>
      <c r="F73" s="66">
        <f>IF(ISNUMBER('Ratio Calculations'!F9),'Ratio Calculations'!F9,NA())</f>
        <v>0.23321861462059804</v>
      </c>
      <c r="G73" s="66">
        <f>IF(ISNUMBER('Ratio Calculations'!G9),'Ratio Calculations'!G9,NA())</f>
        <v>0.22009892086330934</v>
      </c>
      <c r="H73" s="66">
        <f>IF(ISNUMBER('Ratio Calculations'!H9),'Ratio Calculations'!H9,NA())</f>
        <v>0.21434256498806134</v>
      </c>
      <c r="I73" s="66">
        <f>IF(ISNUMBER('Ratio Calculations'!I9),'Ratio Calculations'!I9,NA())</f>
        <v>0.22236885076546764</v>
      </c>
      <c r="J73" s="66">
        <f>IF(ISNUMBER('Ratio Calculations'!J9),'Ratio Calculations'!J9,NA())</f>
        <v>0.22704131916831494</v>
      </c>
      <c r="K73" s="66">
        <f>IF(ISNUMBER('Ratio Calculations'!K9),'Ratio Calculations'!K9,NA())</f>
        <v>0.23300957722057408</v>
      </c>
    </row>
    <row r="74" spans="1:11" x14ac:dyDescent="0.3">
      <c r="A74" s="12" t="s">
        <v>193</v>
      </c>
      <c r="B74" s="66" t="e">
        <f>IF(ISNUMBER('Ratio Calculations'!B10),'Ratio Calculations'!B10,NA())</f>
        <v>#N/A</v>
      </c>
      <c r="C74" s="66" t="e">
        <f>IF(ISNUMBER('Ratio Calculations'!C10),'Ratio Calculations'!C10,NA())</f>
        <v>#N/A</v>
      </c>
      <c r="D74" s="66" t="e">
        <f>IF(ISNUMBER('Ratio Calculations'!D10),'Ratio Calculations'!D10,NA())</f>
        <v>#N/A</v>
      </c>
      <c r="E74" s="66" t="e">
        <f>IF(ISNUMBER('Ratio Calculations'!E10),'Ratio Calculations'!E10,NA())</f>
        <v>#N/A</v>
      </c>
      <c r="F74" s="66" t="e">
        <f>IF(ISNUMBER('Ratio Calculations'!F10),'Ratio Calculations'!F10,NA())</f>
        <v>#N/A</v>
      </c>
      <c r="G74" s="66" t="e">
        <f>IF(ISNUMBER('Ratio Calculations'!G10),'Ratio Calculations'!G10,NA())</f>
        <v>#N/A</v>
      </c>
      <c r="H74" s="66">
        <f>IF(ISNUMBER('Ratio Calculations'!H10),'Ratio Calculations'!H10,NA())</f>
        <v>0.10387100598731401</v>
      </c>
      <c r="I74" s="66">
        <f>IF(ISNUMBER('Ratio Calculations'!I10),'Ratio Calculations'!I10,NA())</f>
        <v>0.1094350131702619</v>
      </c>
      <c r="J74" s="66">
        <f>IF(ISNUMBER('Ratio Calculations'!J10),'Ratio Calculations'!J10,NA())</f>
        <v>0.11306766550677098</v>
      </c>
      <c r="K74" s="66">
        <f>IF(ISNUMBER('Ratio Calculations'!K10),'Ratio Calculations'!K10,NA())</f>
        <v>0.11348707197763802</v>
      </c>
    </row>
    <row r="75" spans="1:11" x14ac:dyDescent="0.3">
      <c r="A75" s="12" t="s">
        <v>194</v>
      </c>
      <c r="B75" s="66">
        <f>IF(ISNUMBER('Ratio Calculations'!B11),'Ratio Calculations'!B11,NA())</f>
        <v>0.34412363266344442</v>
      </c>
      <c r="C75" s="66">
        <f>IF(ISNUMBER('Ratio Calculations'!C11),'Ratio Calculations'!C11,NA())</f>
        <v>0.33668122270742357</v>
      </c>
      <c r="D75" s="66" t="e">
        <f>IF(ISNUMBER('Ratio Calculations'!D11),'Ratio Calculations'!D11,NA())</f>
        <v>#N/A</v>
      </c>
      <c r="E75" s="66" t="e">
        <f>IF(ISNUMBER('Ratio Calculations'!E11),'Ratio Calculations'!E11,NA())</f>
        <v>#N/A</v>
      </c>
      <c r="F75" s="66" t="e">
        <f>IF(ISNUMBER('Ratio Calculations'!F11),'Ratio Calculations'!F11,NA())</f>
        <v>#N/A</v>
      </c>
      <c r="G75" s="66" t="e">
        <f>IF(ISNUMBER('Ratio Calculations'!G11),'Ratio Calculations'!G11,NA())</f>
        <v>#N/A</v>
      </c>
      <c r="H75" s="66" t="e">
        <f>IF(ISNUMBER('Ratio Calculations'!H11),'Ratio Calculations'!H11,NA())</f>
        <v>#N/A</v>
      </c>
      <c r="I75" s="66" t="e">
        <f>IF(ISNUMBER('Ratio Calculations'!I11),'Ratio Calculations'!I11,NA())</f>
        <v>#N/A</v>
      </c>
      <c r="J75" s="66" t="e">
        <f>IF(ISNUMBER('Ratio Calculations'!J11),'Ratio Calculations'!J11,NA())</f>
        <v>#N/A</v>
      </c>
      <c r="K75" s="66" t="e">
        <f>IF(ISNUMBER('Ratio Calculations'!K11),'Ratio Calculations'!K11,NA())</f>
        <v>#N/A</v>
      </c>
    </row>
    <row r="76" spans="1:11" x14ac:dyDescent="0.3">
      <c r="A76" s="13" t="s">
        <v>238</v>
      </c>
      <c r="B76" s="13" t="e">
        <f t="shared" ref="B76:K76" si="0">IF(AND(B$70&gt;="FY2020",B$70&lt;="FY2023"),1,NA())</f>
        <v>#N/A</v>
      </c>
      <c r="C76" s="13" t="e">
        <f t="shared" si="0"/>
        <v>#N/A</v>
      </c>
      <c r="D76" s="13" t="e">
        <f t="shared" si="0"/>
        <v>#N/A</v>
      </c>
      <c r="E76" s="13" t="e">
        <f t="shared" si="0"/>
        <v>#N/A</v>
      </c>
      <c r="F76" s="13">
        <f t="shared" si="0"/>
        <v>1</v>
      </c>
      <c r="G76" s="13">
        <f t="shared" si="0"/>
        <v>1</v>
      </c>
      <c r="H76" s="13">
        <f t="shared" si="0"/>
        <v>1</v>
      </c>
      <c r="I76" s="13">
        <f t="shared" si="0"/>
        <v>1</v>
      </c>
      <c r="J76" s="13" t="e">
        <f t="shared" si="0"/>
        <v>#N/A</v>
      </c>
      <c r="K76" s="13" t="e">
        <f t="shared" si="0"/>
        <v>#N/A</v>
      </c>
    </row>
    <row r="78" spans="1:11" x14ac:dyDescent="0.3">
      <c r="A78" s="12" t="s">
        <v>190</v>
      </c>
      <c r="B78" s="67">
        <f>IF(ISNUMBER('Ratio Calculations'!B21),'Ratio Calculations'!B21,NA())</f>
        <v>2.8345144675961997E-2</v>
      </c>
      <c r="C78" s="67">
        <f>IF(ISNUMBER('Ratio Calculations'!C21),'Ratio Calculations'!C21,NA())</f>
        <v>1.989264988573123E-2</v>
      </c>
      <c r="D78" s="67">
        <f>IF(ISNUMBER('Ratio Calculations'!D21),'Ratio Calculations'!D21,NA())</f>
        <v>1.3069999941214393E-2</v>
      </c>
      <c r="E78" s="67">
        <f>IF(ISNUMBER('Ratio Calculations'!E21),'Ratio Calculations'!E21,NA())</f>
        <v>2.8621380734950744E-2</v>
      </c>
      <c r="F78" s="67">
        <f>IF(ISNUMBER('Ratio Calculations'!F21),'Ratio Calculations'!F21,NA())</f>
        <v>2.4332127233071522E-2</v>
      </c>
      <c r="G78" s="67">
        <f>IF(ISNUMBER('Ratio Calculations'!G21),'Ratio Calculations'!G21,NA())</f>
        <v>2.4082273910547024E-2</v>
      </c>
      <c r="H78" s="67">
        <f>IF(ISNUMBER('Ratio Calculations'!H21),'Ratio Calculations'!H21,NA())</f>
        <v>1.9277712950232801E-2</v>
      </c>
      <c r="I78" s="67">
        <f>IF(ISNUMBER('Ratio Calculations'!I21),'Ratio Calculations'!I21,NA())</f>
        <v>2.4136487628318944E-2</v>
      </c>
      <c r="J78" s="67">
        <f>IF(ISNUMBER('Ratio Calculations'!J21),'Ratio Calculations'!J21,NA())</f>
        <v>2.881379551633859E-2</v>
      </c>
      <c r="K78" s="67">
        <f>IF(ISNUMBER('Ratio Calculations'!K21),'Ratio Calculations'!K21,NA())</f>
        <v>3.0991785258765055E-2</v>
      </c>
    </row>
    <row r="79" spans="1:11" x14ac:dyDescent="0.3">
      <c r="A79" s="12" t="s">
        <v>191</v>
      </c>
      <c r="B79" s="67">
        <f>IF(ISNUMBER('Ratio Calculations'!B22),'Ratio Calculations'!B22,NA())</f>
        <v>2.0245879748089564E-2</v>
      </c>
      <c r="C79" s="67">
        <f>IF(ISNUMBER('Ratio Calculations'!C22),'Ratio Calculations'!C22,NA())</f>
        <v>2.1232920140760232E-2</v>
      </c>
      <c r="D79" s="67">
        <f>IF(ISNUMBER('Ratio Calculations'!D22),'Ratio Calculations'!D22,NA())</f>
        <v>2.2638947079474697E-2</v>
      </c>
      <c r="E79" s="67">
        <f>IF(ISNUMBER('Ratio Calculations'!E22),'Ratio Calculations'!E22,NA())</f>
        <v>2.4499333784172853E-2</v>
      </c>
      <c r="F79" s="67">
        <f>IF(ISNUMBER('Ratio Calculations'!F22),'Ratio Calculations'!F22,NA())</f>
        <v>2.4519054037495405E-2</v>
      </c>
      <c r="G79" s="67">
        <f>IF(ISNUMBER('Ratio Calculations'!G22),'Ratio Calculations'!G22,NA())</f>
        <v>2.6071064086809821E-2</v>
      </c>
      <c r="H79" s="67">
        <f>IF(ISNUMBER('Ratio Calculations'!H22),'Ratio Calculations'!H22,NA())</f>
        <v>2.6238046064742063E-2</v>
      </c>
      <c r="I79" s="67">
        <f>IF(ISNUMBER('Ratio Calculations'!I22),'Ratio Calculations'!I22,NA())</f>
        <v>2.6469227209625173E-2</v>
      </c>
      <c r="J79" s="67">
        <f>IF(ISNUMBER('Ratio Calculations'!J22),'Ratio Calculations'!J22,NA())</f>
        <v>2.9512268402603906E-2</v>
      </c>
      <c r="K79" s="67">
        <f>IF(ISNUMBER('Ratio Calculations'!K22),'Ratio Calculations'!K22,NA())</f>
        <v>3.0006076054417737E-2</v>
      </c>
    </row>
    <row r="80" spans="1:11" x14ac:dyDescent="0.3">
      <c r="A80" s="12" t="s">
        <v>192</v>
      </c>
      <c r="B80" s="67">
        <f>IF(ISNUMBER('Ratio Calculations'!B23),'Ratio Calculations'!B23,NA())</f>
        <v>1.7123733060509638E-2</v>
      </c>
      <c r="C80" s="67">
        <f>IF(ISNUMBER('Ratio Calculations'!C23),'Ratio Calculations'!C23,NA())</f>
        <v>1.5468851395197923E-2</v>
      </c>
      <c r="D80" s="67">
        <f>IF(ISNUMBER('Ratio Calculations'!D23),'Ratio Calculations'!D23,NA())</f>
        <v>2.552276532186587E-2</v>
      </c>
      <c r="E80" s="67">
        <f>IF(ISNUMBER('Ratio Calculations'!E23),'Ratio Calculations'!E23,NA())</f>
        <v>1.3566557087483441E-2</v>
      </c>
      <c r="F80" s="67">
        <f>IF(ISNUMBER('Ratio Calculations'!F23),'Ratio Calculations'!F23,NA())</f>
        <v>1.9509728448731303E-2</v>
      </c>
      <c r="G80" s="67">
        <f>IF(ISNUMBER('Ratio Calculations'!G23),'Ratio Calculations'!G23,NA())</f>
        <v>1.2002494778370851E-2</v>
      </c>
      <c r="H80" s="67">
        <f>IF(ISNUMBER('Ratio Calculations'!H23),'Ratio Calculations'!H23,NA())</f>
        <v>1.5135776821486868E-2</v>
      </c>
      <c r="I80" s="67">
        <f>IF(ISNUMBER('Ratio Calculations'!I23),'Ratio Calculations'!I23,NA())</f>
        <v>1.4422916708322502E-2</v>
      </c>
      <c r="J80" s="67">
        <f>IF(ISNUMBER('Ratio Calculations'!J23),'Ratio Calculations'!J23,NA())</f>
        <v>1.81140950089381E-2</v>
      </c>
      <c r="K80" s="67">
        <f>IF(ISNUMBER('Ratio Calculations'!K23),'Ratio Calculations'!K23,NA())</f>
        <v>6.8815106812424648E-3</v>
      </c>
    </row>
    <row r="81" spans="1:11" x14ac:dyDescent="0.3">
      <c r="A81" s="12" t="s">
        <v>194</v>
      </c>
      <c r="B81" s="67">
        <f>IF(ISNUMBER('Ratio Calculations'!B25),'Ratio Calculations'!B25,NA())</f>
        <v>3.2243703892139403E-2</v>
      </c>
      <c r="C81" s="67">
        <f>IF(ISNUMBER('Ratio Calculations'!C25),'Ratio Calculations'!C25,NA())</f>
        <v>1.5283842794759825E-2</v>
      </c>
      <c r="D81" s="67" t="e">
        <f>IF(ISNUMBER('Ratio Calculations'!D25),'Ratio Calculations'!D25,NA())</f>
        <v>#N/A</v>
      </c>
      <c r="E81" s="67" t="e">
        <f>IF(ISNUMBER('Ratio Calculations'!E25),'Ratio Calculations'!E25,NA())</f>
        <v>#N/A</v>
      </c>
      <c r="F81" s="67" t="e">
        <f>IF(ISNUMBER('Ratio Calculations'!F25),'Ratio Calculations'!F25,NA())</f>
        <v>#N/A</v>
      </c>
      <c r="G81" s="67" t="e">
        <f>IF(ISNUMBER('Ratio Calculations'!G25),'Ratio Calculations'!G25,NA())</f>
        <v>#N/A</v>
      </c>
      <c r="H81" s="67" t="e">
        <f>IF(ISNUMBER('Ratio Calculations'!H25),'Ratio Calculations'!H25,NA())</f>
        <v>#N/A</v>
      </c>
      <c r="I81" s="67" t="e">
        <f>IF(ISNUMBER('Ratio Calculations'!I25),'Ratio Calculations'!I25,NA())</f>
        <v>#N/A</v>
      </c>
      <c r="J81" s="67" t="e">
        <f>IF(ISNUMBER('Ratio Calculations'!J25),'Ratio Calculations'!J25,NA())</f>
        <v>#N/A</v>
      </c>
      <c r="K81" s="67" t="e">
        <f>IF(ISNUMBER('Ratio Calculations'!K25),'Ratio Calculations'!K25,NA())</f>
        <v>#N/A</v>
      </c>
    </row>
    <row r="82" spans="1:11" x14ac:dyDescent="0.3">
      <c r="A82" s="13" t="s">
        <v>238</v>
      </c>
      <c r="B82" s="13" t="e">
        <f t="shared" ref="B82:K82" si="1">IF(AND(B$70&gt;="FY2020",B$70&lt;="FY2023"),1,NA())</f>
        <v>#N/A</v>
      </c>
      <c r="C82" s="13" t="e">
        <f t="shared" si="1"/>
        <v>#N/A</v>
      </c>
      <c r="D82" s="13" t="e">
        <f t="shared" si="1"/>
        <v>#N/A</v>
      </c>
      <c r="E82" s="13" t="e">
        <f t="shared" si="1"/>
        <v>#N/A</v>
      </c>
      <c r="F82" s="13">
        <f t="shared" si="1"/>
        <v>1</v>
      </c>
      <c r="G82" s="13">
        <f t="shared" si="1"/>
        <v>1</v>
      </c>
      <c r="H82" s="13">
        <f t="shared" si="1"/>
        <v>1</v>
      </c>
      <c r="I82" s="13">
        <f t="shared" si="1"/>
        <v>1</v>
      </c>
      <c r="J82" s="13" t="e">
        <f t="shared" si="1"/>
        <v>#N/A</v>
      </c>
      <c r="K82" s="13" t="e">
        <f t="shared" si="1"/>
        <v>#N/A</v>
      </c>
    </row>
    <row r="84" spans="1:11" x14ac:dyDescent="0.3">
      <c r="A84" s="12" t="s">
        <v>190</v>
      </c>
      <c r="B84" s="67">
        <f>IF(ISNUMBER('Ratio Calculations'!B14),'Ratio Calculations'!B14,NA())</f>
        <v>4.7295233702528687E-2</v>
      </c>
      <c r="C84" s="67">
        <f>IF(ISNUMBER('Ratio Calculations'!C14),'Ratio Calculations'!C14,NA())</f>
        <v>4.1223492771718634E-2</v>
      </c>
      <c r="D84" s="67">
        <f>IF(ISNUMBER('Ratio Calculations'!D14),'Ratio Calculations'!D14,NA())</f>
        <v>4.3025185713529902E-2</v>
      </c>
      <c r="E84" s="67">
        <f>IF(ISNUMBER('Ratio Calculations'!E14),'Ratio Calculations'!E14,NA())</f>
        <v>3.9559475771552104E-2</v>
      </c>
      <c r="F84" s="67">
        <f>IF(ISNUMBER('Ratio Calculations'!F14),'Ratio Calculations'!F14,NA())</f>
        <v>4.0609978153315816E-2</v>
      </c>
      <c r="G84" s="67">
        <f>IF(ISNUMBER('Ratio Calculations'!G14),'Ratio Calculations'!G14,NA())</f>
        <v>4.5691680669012719E-2</v>
      </c>
      <c r="H84" s="67">
        <f>IF(ISNUMBER('Ratio Calculations'!H14),'Ratio Calculations'!H14,NA())</f>
        <v>3.3716191793437988E-2</v>
      </c>
      <c r="I84" s="67">
        <f>IF(ISNUMBER('Ratio Calculations'!I14),'Ratio Calculations'!I14,NA())</f>
        <v>4.2033060654770887E-2</v>
      </c>
      <c r="J84" s="67">
        <f>IF(ISNUMBER('Ratio Calculations'!J14),'Ratio Calculations'!J14,NA())</f>
        <v>4.3508297531050885E-2</v>
      </c>
      <c r="K84" s="67">
        <f>IF(ISNUMBER('Ratio Calculations'!K14),'Ratio Calculations'!K14,NA())</f>
        <v>4.222034418958881E-2</v>
      </c>
    </row>
    <row r="85" spans="1:11" x14ac:dyDescent="0.3">
      <c r="A85" s="12" t="s">
        <v>191</v>
      </c>
      <c r="B85" s="67">
        <f>IF(ISNUMBER('Ratio Calculations'!B15),'Ratio Calculations'!B15,NA())</f>
        <v>3.1635264014887185E-2</v>
      </c>
      <c r="C85" s="67">
        <f>IF(ISNUMBER('Ratio Calculations'!C15),'Ratio Calculations'!C15,NA())</f>
        <v>3.258250641980788E-2</v>
      </c>
      <c r="D85" s="67">
        <f>IF(ISNUMBER('Ratio Calculations'!D15),'Ratio Calculations'!D15,NA())</f>
        <v>3.2361991996185911E-2</v>
      </c>
      <c r="E85" s="67">
        <f>IF(ISNUMBER('Ratio Calculations'!E15),'Ratio Calculations'!E15,NA())</f>
        <v>3.1717229881286363E-2</v>
      </c>
      <c r="F85" s="67">
        <f>IF(ISNUMBER('Ratio Calculations'!F15),'Ratio Calculations'!F15,NA())</f>
        <v>3.3298615365763999E-2</v>
      </c>
      <c r="G85" s="67">
        <f>IF(ISNUMBER('Ratio Calculations'!G15),'Ratio Calculations'!G15,NA())</f>
        <v>3.492804032241268E-2</v>
      </c>
      <c r="H85" s="67">
        <f>IF(ISNUMBER('Ratio Calculations'!H15),'Ratio Calculations'!H15,NA())</f>
        <v>3.4988551160598035E-2</v>
      </c>
      <c r="I85" s="67">
        <f>IF(ISNUMBER('Ratio Calculations'!I15),'Ratio Calculations'!I15,NA())</f>
        <v>3.4134028858693363E-2</v>
      </c>
      <c r="J85" s="67">
        <f>IF(ISNUMBER('Ratio Calculations'!J15),'Ratio Calculations'!J15,NA())</f>
        <v>3.7195793690535807E-2</v>
      </c>
      <c r="K85" s="67">
        <f>IF(ISNUMBER('Ratio Calculations'!K15),'Ratio Calculations'!K15,NA())</f>
        <v>3.8468093304484426E-2</v>
      </c>
    </row>
    <row r="86" spans="1:11" x14ac:dyDescent="0.3">
      <c r="A86" s="12" t="s">
        <v>192</v>
      </c>
      <c r="B86" s="67">
        <f>IF(ISNUMBER('Ratio Calculations'!B16),'Ratio Calculations'!B16,NA())</f>
        <v>2.9929684316394565E-2</v>
      </c>
      <c r="C86" s="67">
        <f>IF(ISNUMBER('Ratio Calculations'!C16),'Ratio Calculations'!C16,NA())</f>
        <v>2.1187540558079171E-2</v>
      </c>
      <c r="D86" s="67">
        <f>IF(ISNUMBER('Ratio Calculations'!D16),'Ratio Calculations'!D16,NA())</f>
        <v>2.1452253553491122E-2</v>
      </c>
      <c r="E86" s="67">
        <f>IF(ISNUMBER('Ratio Calculations'!E16),'Ratio Calculations'!E16,NA())</f>
        <v>1.8407667271805438E-2</v>
      </c>
      <c r="F86" s="67">
        <f>IF(ISNUMBER('Ratio Calculations'!F16),'Ratio Calculations'!F16,NA())</f>
        <v>2.0981448776585306E-2</v>
      </c>
      <c r="G86" s="67">
        <f>IF(ISNUMBER('Ratio Calculations'!G16),'Ratio Calculations'!G16,NA())</f>
        <v>2.5216117428637736E-2</v>
      </c>
      <c r="H86" s="67">
        <f>IF(ISNUMBER('Ratio Calculations'!H16),'Ratio Calculations'!H16,NA())</f>
        <v>2.7829864155728527E-2</v>
      </c>
      <c r="I86" s="67">
        <f>IF(ISNUMBER('Ratio Calculations'!I16),'Ratio Calculations'!I16,NA())</f>
        <v>2.0634634994901327E-2</v>
      </c>
      <c r="J86" s="67">
        <f>IF(ISNUMBER('Ratio Calculations'!J16),'Ratio Calculations'!J16,NA())</f>
        <v>2.6161782997899716E-2</v>
      </c>
      <c r="K86" s="67">
        <f>IF(ISNUMBER('Ratio Calculations'!K16),'Ratio Calculations'!K16,NA())</f>
        <v>1.2801235420815215E-2</v>
      </c>
    </row>
    <row r="87" spans="1:11" x14ac:dyDescent="0.3">
      <c r="A87" s="12" t="s">
        <v>193</v>
      </c>
      <c r="B87" s="67">
        <f>IF(ISNUMBER('Ratio Calculations'!B17),'Ratio Calculations'!B17,NA())</f>
        <v>2.8379674017257911E-2</v>
      </c>
      <c r="C87" s="67">
        <f>IF(ISNUMBER('Ratio Calculations'!C17),'Ratio Calculations'!C17,NA())</f>
        <v>1.5451904890570117E-2</v>
      </c>
      <c r="D87" s="67">
        <f>IF(ISNUMBER('Ratio Calculations'!D17),'Ratio Calculations'!D17,NA())</f>
        <v>2.6279845778799771E-2</v>
      </c>
      <c r="E87" s="67">
        <f>IF(ISNUMBER('Ratio Calculations'!E17),'Ratio Calculations'!E17,NA())</f>
        <v>2.7928969927881346E-2</v>
      </c>
      <c r="F87" s="67">
        <f>IF(ISNUMBER('Ratio Calculations'!F17),'Ratio Calculations'!F17,NA())</f>
        <v>2.9823188859333438E-2</v>
      </c>
      <c r="G87" s="67">
        <f>IF(ISNUMBER('Ratio Calculations'!G17),'Ratio Calculations'!G17,NA())</f>
        <v>3.0711294795801838E-2</v>
      </c>
      <c r="H87" s="67">
        <f>IF(ISNUMBER('Ratio Calculations'!H17),'Ratio Calculations'!H17,NA())</f>
        <v>2.3285316260596361E-2</v>
      </c>
      <c r="I87" s="67">
        <f>IF(ISNUMBER('Ratio Calculations'!I17),'Ratio Calculations'!I17,NA())</f>
        <v>2.5435430905441002E-2</v>
      </c>
      <c r="J87" s="67">
        <f>IF(ISNUMBER('Ratio Calculations'!J17),'Ratio Calculations'!J17,NA())</f>
        <v>2.6640661362175581E-2</v>
      </c>
      <c r="K87" s="67">
        <f>IF(ISNUMBER('Ratio Calculations'!K17),'Ratio Calculations'!K17,NA())</f>
        <v>2.6253830027414934E-2</v>
      </c>
    </row>
    <row r="88" spans="1:11" x14ac:dyDescent="0.3">
      <c r="A88" s="12" t="s">
        <v>194</v>
      </c>
      <c r="B88" s="67">
        <f>IF(ISNUMBER('Ratio Calculations'!B18),'Ratio Calculations'!B18,NA())</f>
        <v>5.4502671076062069E-2</v>
      </c>
      <c r="C88" s="67">
        <f>IF(ISNUMBER('Ratio Calculations'!C18),'Ratio Calculations'!C18,NA())</f>
        <v>2.8633811603243919E-2</v>
      </c>
      <c r="D88" s="67" t="e">
        <f>IF(ISNUMBER('Ratio Calculations'!D18),'Ratio Calculations'!D18,NA())</f>
        <v>#N/A</v>
      </c>
      <c r="E88" s="67" t="e">
        <f>IF(ISNUMBER('Ratio Calculations'!E18),'Ratio Calculations'!E18,NA())</f>
        <v>#N/A</v>
      </c>
      <c r="F88" s="67" t="e">
        <f>IF(ISNUMBER('Ratio Calculations'!F18),'Ratio Calculations'!F18,NA())</f>
        <v>#N/A</v>
      </c>
      <c r="G88" s="67" t="e">
        <f>IF(ISNUMBER('Ratio Calculations'!G18),'Ratio Calculations'!G18,NA())</f>
        <v>#N/A</v>
      </c>
      <c r="H88" s="67" t="e">
        <f>IF(ISNUMBER('Ratio Calculations'!H18),'Ratio Calculations'!H18,NA())</f>
        <v>#N/A</v>
      </c>
      <c r="I88" s="67" t="e">
        <f>IF(ISNUMBER('Ratio Calculations'!I18),'Ratio Calculations'!I18,NA())</f>
        <v>#N/A</v>
      </c>
      <c r="J88" s="67" t="e">
        <f>IF(ISNUMBER('Ratio Calculations'!J18),'Ratio Calculations'!J18,NA())</f>
        <v>#N/A</v>
      </c>
      <c r="K88" s="67" t="e">
        <f>IF(ISNUMBER('Ratio Calculations'!K18),'Ratio Calculations'!K18,NA())</f>
        <v>#N/A</v>
      </c>
    </row>
    <row r="89" spans="1:11" x14ac:dyDescent="0.3">
      <c r="A89" s="13" t="s">
        <v>238</v>
      </c>
      <c r="B89" s="13" t="e">
        <f t="shared" ref="B89:K89" si="2">IF(AND(B$70&gt;="FY2020",B$70&lt;="FY2023"),1,NA())</f>
        <v>#N/A</v>
      </c>
      <c r="C89" s="13" t="e">
        <f t="shared" si="2"/>
        <v>#N/A</v>
      </c>
      <c r="D89" s="13" t="e">
        <f t="shared" si="2"/>
        <v>#N/A</v>
      </c>
      <c r="E89" s="13" t="e">
        <f t="shared" si="2"/>
        <v>#N/A</v>
      </c>
      <c r="F89" s="13">
        <f t="shared" si="2"/>
        <v>1</v>
      </c>
      <c r="G89" s="13">
        <f t="shared" si="2"/>
        <v>1</v>
      </c>
      <c r="H89" s="13">
        <f t="shared" si="2"/>
        <v>1</v>
      </c>
      <c r="I89" s="13">
        <f t="shared" si="2"/>
        <v>1</v>
      </c>
      <c r="J89" s="13" t="e">
        <f t="shared" si="2"/>
        <v>#N/A</v>
      </c>
      <c r="K89" s="13" t="e">
        <f t="shared" si="2"/>
        <v>#N/A</v>
      </c>
    </row>
    <row r="91" spans="1:11" x14ac:dyDescent="0.3">
      <c r="A91" s="12" t="s">
        <v>190</v>
      </c>
      <c r="B91" s="68">
        <f>IF(ISNUMBER('Ratio Calculations'!B28),'Ratio Calculations'!B28,NA())</f>
        <v>0.86195613196270615</v>
      </c>
      <c r="C91" s="68">
        <f>IF(ISNUMBER('Ratio Calculations'!C28),'Ratio Calculations'!C28,NA())</f>
        <v>0.75984768405904157</v>
      </c>
      <c r="D91" s="68">
        <f>IF(ISNUMBER('Ratio Calculations'!D28),'Ratio Calculations'!D28,NA())</f>
        <v>0.79890806303806294</v>
      </c>
      <c r="E91" s="68">
        <f>IF(ISNUMBER('Ratio Calculations'!E28),'Ratio Calculations'!E28,NA())</f>
        <v>0.7945237177015041</v>
      </c>
      <c r="F91" s="68">
        <f>IF(ISNUMBER('Ratio Calculations'!F28),'Ratio Calculations'!F28,NA())</f>
        <v>0.97217334988396564</v>
      </c>
      <c r="G91" s="68">
        <f>IF(ISNUMBER('Ratio Calculations'!G28),'Ratio Calculations'!G28,NA())</f>
        <v>0.92779729683333523</v>
      </c>
      <c r="H91" s="68">
        <f>IF(ISNUMBER('Ratio Calculations'!H28),'Ratio Calculations'!H28,NA())</f>
        <v>0.82057094513980777</v>
      </c>
      <c r="I91" s="68">
        <f>IF(ISNUMBER('Ratio Calculations'!I28),'Ratio Calculations'!I28,NA())</f>
        <v>0.83186712113834338</v>
      </c>
      <c r="J91" s="68">
        <f>IF(ISNUMBER('Ratio Calculations'!J28),'Ratio Calculations'!J28,NA())</f>
        <v>0.82268284602004471</v>
      </c>
      <c r="K91" s="68">
        <f>IF(ISNUMBER('Ratio Calculations'!K28),'Ratio Calculations'!K28,NA())</f>
        <v>0.78975332421442468</v>
      </c>
    </row>
    <row r="92" spans="1:11" x14ac:dyDescent="0.3">
      <c r="A92" s="12" t="s">
        <v>191</v>
      </c>
      <c r="B92" s="68">
        <f>IF(ISNUMBER('Ratio Calculations'!B29),'Ratio Calculations'!B29,NA())</f>
        <v>0.97707865168539321</v>
      </c>
      <c r="C92" s="68">
        <f>IF(ISNUMBER('Ratio Calculations'!C29),'Ratio Calculations'!C29,NA())</f>
        <v>0.98982566447556442</v>
      </c>
      <c r="D92" s="68">
        <f>IF(ISNUMBER('Ratio Calculations'!D29),'Ratio Calculations'!D29,NA())</f>
        <v>1.0182174043962662</v>
      </c>
      <c r="E92" s="68">
        <f>IF(ISNUMBER('Ratio Calculations'!E29),'Ratio Calculations'!E29,NA())</f>
        <v>1.0106726341610364</v>
      </c>
      <c r="F92" s="68">
        <f>IF(ISNUMBER('Ratio Calculations'!F29),'Ratio Calculations'!F29,NA())</f>
        <v>1.1318628240218966</v>
      </c>
      <c r="G92" s="68">
        <f>IF(ISNUMBER('Ratio Calculations'!G29),'Ratio Calculations'!G29,NA())</f>
        <v>1.0021738392038313</v>
      </c>
      <c r="H92" s="68">
        <f>IF(ISNUMBER('Ratio Calculations'!H29),'Ratio Calculations'!H29,NA())</f>
        <v>1.0218138633664604</v>
      </c>
      <c r="I92" s="68">
        <f>IF(ISNUMBER('Ratio Calculations'!I29),'Ratio Calculations'!I29,NA())</f>
        <v>1.0683679242473871</v>
      </c>
      <c r="J92" s="68">
        <f>IF(ISNUMBER('Ratio Calculations'!J29),'Ratio Calculations'!J29,NA())</f>
        <v>0.96565531242950597</v>
      </c>
      <c r="K92" s="68">
        <f>IF(ISNUMBER('Ratio Calculations'!K29),'Ratio Calculations'!K29,NA())</f>
        <v>1.0342783227336423</v>
      </c>
    </row>
    <row r="93" spans="1:11" x14ac:dyDescent="0.3">
      <c r="A93" s="12" t="s">
        <v>192</v>
      </c>
      <c r="B93" s="68">
        <f>IF(ISNUMBER('Ratio Calculations'!B30),'Ratio Calculations'!B30,NA())</f>
        <v>0.80404354587869364</v>
      </c>
      <c r="C93" s="68">
        <f>IF(ISNUMBER('Ratio Calculations'!C30),'Ratio Calculations'!C30,NA())</f>
        <v>0.78305275762485027</v>
      </c>
      <c r="D93" s="68">
        <f>IF(ISNUMBER('Ratio Calculations'!D30),'Ratio Calculations'!D30,NA())</f>
        <v>0.75683060109289613</v>
      </c>
      <c r="E93" s="68">
        <f>IF(ISNUMBER('Ratio Calculations'!E30),'Ratio Calculations'!E30,NA())</f>
        <v>0.76458611247630415</v>
      </c>
      <c r="F93" s="68">
        <f>IF(ISNUMBER('Ratio Calculations'!F30),'Ratio Calculations'!F30,NA())</f>
        <v>0.81367955225823241</v>
      </c>
      <c r="G93" s="68">
        <f>IF(ISNUMBER('Ratio Calculations'!G30),'Ratio Calculations'!G30,NA())</f>
        <v>0.74581878331189122</v>
      </c>
      <c r="H93" s="68">
        <f>IF(ISNUMBER('Ratio Calculations'!H30),'Ratio Calculations'!H30,NA())</f>
        <v>0.73500406079591596</v>
      </c>
      <c r="I93" s="68">
        <f>IF(ISNUMBER('Ratio Calculations'!I30),'Ratio Calculations'!I30,NA())</f>
        <v>0.80632706439158053</v>
      </c>
      <c r="J93" s="68">
        <f>IF(ISNUMBER('Ratio Calculations'!J30),'Ratio Calculations'!J30,NA())</f>
        <v>0.95815558343789209</v>
      </c>
      <c r="K93" s="68">
        <f>IF(ISNUMBER('Ratio Calculations'!K30),'Ratio Calculations'!K30,NA())</f>
        <v>0.80102717031146453</v>
      </c>
    </row>
    <row r="94" spans="1:11" x14ac:dyDescent="0.3">
      <c r="A94" s="12" t="s">
        <v>194</v>
      </c>
      <c r="B94" s="68">
        <f>IF(ISNUMBER('Ratio Calculations'!B32),'Ratio Calculations'!B32,NA())</f>
        <v>1.4727815063385534</v>
      </c>
      <c r="C94" s="68">
        <f>IF(ISNUMBER('Ratio Calculations'!C32),'Ratio Calculations'!C32,NA())</f>
        <v>1.5830258302583027</v>
      </c>
      <c r="D94" s="68" t="e">
        <f>IF(ISNUMBER('Ratio Calculations'!D32),'Ratio Calculations'!D32,NA())</f>
        <v>#N/A</v>
      </c>
      <c r="E94" s="68" t="e">
        <f>IF(ISNUMBER('Ratio Calculations'!E32),'Ratio Calculations'!E32,NA())</f>
        <v>#N/A</v>
      </c>
      <c r="F94" s="68" t="e">
        <f>IF(ISNUMBER('Ratio Calculations'!F32),'Ratio Calculations'!F32,NA())</f>
        <v>#N/A</v>
      </c>
      <c r="G94" s="68" t="e">
        <f>IF(ISNUMBER('Ratio Calculations'!G32),'Ratio Calculations'!G32,NA())</f>
        <v>#N/A</v>
      </c>
      <c r="H94" s="68" t="e">
        <f>IF(ISNUMBER('Ratio Calculations'!H32),'Ratio Calculations'!H32,NA())</f>
        <v>#N/A</v>
      </c>
      <c r="I94" s="68" t="e">
        <f>IF(ISNUMBER('Ratio Calculations'!I32),'Ratio Calculations'!I32,NA())</f>
        <v>#N/A</v>
      </c>
      <c r="J94" s="68" t="e">
        <f>IF(ISNUMBER('Ratio Calculations'!J32),'Ratio Calculations'!J32,NA())</f>
        <v>#N/A</v>
      </c>
      <c r="K94" s="68" t="e">
        <f>IF(ISNUMBER('Ratio Calculations'!K32),'Ratio Calculations'!K32,NA())</f>
        <v>#N/A</v>
      </c>
    </row>
    <row r="95" spans="1:11" x14ac:dyDescent="0.3">
      <c r="A95" s="13" t="s">
        <v>238</v>
      </c>
      <c r="B95" s="13" t="e">
        <f t="shared" ref="B95:K95" si="3">IF(AND(B$70&gt;="FY2020",B$70&lt;="FY2023"),1,NA())</f>
        <v>#N/A</v>
      </c>
      <c r="C95" s="13" t="e">
        <f t="shared" si="3"/>
        <v>#N/A</v>
      </c>
      <c r="D95" s="13" t="e">
        <f t="shared" si="3"/>
        <v>#N/A</v>
      </c>
      <c r="E95" s="13" t="e">
        <f t="shared" si="3"/>
        <v>#N/A</v>
      </c>
      <c r="F95" s="13">
        <f t="shared" si="3"/>
        <v>1</v>
      </c>
      <c r="G95" s="13">
        <f t="shared" si="3"/>
        <v>1</v>
      </c>
      <c r="H95" s="13">
        <f t="shared" si="3"/>
        <v>1</v>
      </c>
      <c r="I95" s="13">
        <f t="shared" si="3"/>
        <v>1</v>
      </c>
      <c r="J95" s="13" t="e">
        <f t="shared" si="3"/>
        <v>#N/A</v>
      </c>
      <c r="K95" s="13" t="e">
        <f t="shared" si="3"/>
        <v>#N/A</v>
      </c>
    </row>
    <row r="97" spans="1:11" x14ac:dyDescent="0.3">
      <c r="A97" s="12" t="s">
        <v>190</v>
      </c>
      <c r="B97" s="69">
        <f>IF(ISNUMBER('Ratio Calculations'!B35),'Ratio Calculations'!B35,NA())</f>
        <v>0.57041038057987214</v>
      </c>
      <c r="C97" s="69">
        <f>IF(ISNUMBER('Ratio Calculations'!C35),'Ratio Calculations'!C35,NA())</f>
        <v>0.57517755066689757</v>
      </c>
      <c r="D97" s="69">
        <f>IF(ISNUMBER('Ratio Calculations'!D35),'Ratio Calculations'!D35,NA())</f>
        <v>0.72874651530753198</v>
      </c>
      <c r="E97" s="69">
        <f>IF(ISNUMBER('Ratio Calculations'!E35),'Ratio Calculations'!E35,NA())</f>
        <v>0.66790514027859527</v>
      </c>
      <c r="F97" s="69">
        <f>IF(ISNUMBER('Ratio Calculations'!F35),'Ratio Calculations'!F35,NA())</f>
        <v>0.55832790668448895</v>
      </c>
      <c r="G97" s="69">
        <f>IF(ISNUMBER('Ratio Calculations'!G35),'Ratio Calculations'!G35,NA())</f>
        <v>0.46610658279918599</v>
      </c>
      <c r="H97" s="69">
        <f>IF(ISNUMBER('Ratio Calculations'!H35),'Ratio Calculations'!H35,NA())</f>
        <v>0.53277455405114982</v>
      </c>
      <c r="I97" s="69">
        <f>IF(ISNUMBER('Ratio Calculations'!I35),'Ratio Calculations'!I35,NA())</f>
        <v>0.51899855006696261</v>
      </c>
      <c r="J97" s="69">
        <f>IF(ISNUMBER('Ratio Calculations'!J35),'Ratio Calculations'!J35,NA())</f>
        <v>0.47002186386918632</v>
      </c>
      <c r="K97" s="69">
        <f>IF(ISNUMBER('Ratio Calculations'!K35),'Ratio Calculations'!K35,NA())</f>
        <v>0.48658475544684426</v>
      </c>
    </row>
    <row r="98" spans="1:11" x14ac:dyDescent="0.3">
      <c r="A98" s="12" t="s">
        <v>191</v>
      </c>
      <c r="B98" s="69">
        <f>IF(ISNUMBER('Ratio Calculations'!B36),'Ratio Calculations'!B36,NA())</f>
        <v>0.44883230619526437</v>
      </c>
      <c r="C98" s="69">
        <f>IF(ISNUMBER('Ratio Calculations'!C36),'Ratio Calculations'!C36,NA())</f>
        <v>0.63534615037458253</v>
      </c>
      <c r="D98" s="69">
        <f>IF(ISNUMBER('Ratio Calculations'!D36),'Ratio Calculations'!D36,NA())</f>
        <v>0.53224452415477375</v>
      </c>
      <c r="E98" s="69">
        <f>IF(ISNUMBER('Ratio Calculations'!E36),'Ratio Calculations'!E36,NA())</f>
        <v>0.46483572895277209</v>
      </c>
      <c r="F98" s="69">
        <f>IF(ISNUMBER('Ratio Calculations'!F36),'Ratio Calculations'!F36,NA())</f>
        <v>0.44357123763699546</v>
      </c>
      <c r="G98" s="69">
        <f>IF(ISNUMBER('Ratio Calculations'!G36),'Ratio Calculations'!G36,NA())</f>
        <v>0.47256333665228456</v>
      </c>
      <c r="H98" s="69">
        <f>IF(ISNUMBER('Ratio Calculations'!H36),'Ratio Calculations'!H36,NA())</f>
        <v>0.39642563084225313</v>
      </c>
      <c r="I98" s="69">
        <f>IF(ISNUMBER('Ratio Calculations'!I36),'Ratio Calculations'!I36,NA())</f>
        <v>0.31486950275361164</v>
      </c>
      <c r="J98" s="69">
        <f>IF(ISNUMBER('Ratio Calculations'!J36),'Ratio Calculations'!J36,NA())</f>
        <v>0.31305562611125221</v>
      </c>
      <c r="K98" s="69">
        <f>IF(ISNUMBER('Ratio Calculations'!K36),'Ratio Calculations'!K36,NA())</f>
        <v>0.24917706761761074</v>
      </c>
    </row>
    <row r="99" spans="1:11" x14ac:dyDescent="0.3">
      <c r="A99" s="12" t="s">
        <v>192</v>
      </c>
      <c r="B99" s="69">
        <f>IF(ISNUMBER('Ratio Calculations'!B37),'Ratio Calculations'!B37,NA())</f>
        <v>2.0979135618479883</v>
      </c>
      <c r="C99" s="69">
        <f>IF(ISNUMBER('Ratio Calculations'!C37),'Ratio Calculations'!C37,NA())</f>
        <v>2.2576393917451121</v>
      </c>
      <c r="D99" s="69">
        <f>IF(ISNUMBER('Ratio Calculations'!D37),'Ratio Calculations'!D37,NA())</f>
        <v>1.9437141033822591</v>
      </c>
      <c r="E99" s="69">
        <f>IF(ISNUMBER('Ratio Calculations'!E37),'Ratio Calculations'!E37,NA())</f>
        <v>1.6418989851860493</v>
      </c>
      <c r="F99" s="69">
        <f>IF(ISNUMBER('Ratio Calculations'!F37),'Ratio Calculations'!F37,NA())</f>
        <v>1.4045026178010471</v>
      </c>
      <c r="G99" s="69">
        <f>IF(ISNUMBER('Ratio Calculations'!G37),'Ratio Calculations'!G37,NA())</f>
        <v>1.4173295153250609</v>
      </c>
      <c r="H99" s="69">
        <f>IF(ISNUMBER('Ratio Calculations'!H37),'Ratio Calculations'!H37,NA())</f>
        <v>1.3359296984222089</v>
      </c>
      <c r="I99" s="69">
        <f>IF(ISNUMBER('Ratio Calculations'!I37),'Ratio Calculations'!I37,NA())</f>
        <v>1.053874665977071</v>
      </c>
      <c r="J99" s="69">
        <f>IF(ISNUMBER('Ratio Calculations'!J37),'Ratio Calculations'!J37,NA())</f>
        <v>2.1621784808597995</v>
      </c>
      <c r="K99" s="69">
        <f>IF(ISNUMBER('Ratio Calculations'!K37),'Ratio Calculations'!K37,NA())</f>
        <v>2.9592318059299192</v>
      </c>
    </row>
    <row r="100" spans="1:11" x14ac:dyDescent="0.3">
      <c r="A100" s="12" t="s">
        <v>194</v>
      </c>
      <c r="B100" s="69">
        <f>IF(ISNUMBER('Ratio Calculations'!B39),'Ratio Calculations'!B39,NA())</f>
        <v>0.32599255583126552</v>
      </c>
      <c r="C100" s="69">
        <f>IF(ISNUMBER('Ratio Calculations'!C39),'Ratio Calculations'!C39,NA())</f>
        <v>0.31574344023323614</v>
      </c>
      <c r="D100" s="69" t="e">
        <f>IF(ISNUMBER('Ratio Calculations'!D39),'Ratio Calculations'!D39,NA())</f>
        <v>#N/A</v>
      </c>
      <c r="E100" s="69" t="e">
        <f>IF(ISNUMBER('Ratio Calculations'!E39),'Ratio Calculations'!E39,NA())</f>
        <v>#N/A</v>
      </c>
      <c r="F100" s="69" t="e">
        <f>IF(ISNUMBER('Ratio Calculations'!F39),'Ratio Calculations'!F39,NA())</f>
        <v>#N/A</v>
      </c>
      <c r="G100" s="69" t="e">
        <f>IF(ISNUMBER('Ratio Calculations'!G39),'Ratio Calculations'!G39,NA())</f>
        <v>#N/A</v>
      </c>
      <c r="H100" s="69" t="e">
        <f>IF(ISNUMBER('Ratio Calculations'!H39),'Ratio Calculations'!H39,NA())</f>
        <v>#N/A</v>
      </c>
      <c r="I100" s="69" t="e">
        <f>IF(ISNUMBER('Ratio Calculations'!I39),'Ratio Calculations'!I39,NA())</f>
        <v>#N/A</v>
      </c>
      <c r="J100" s="69" t="e">
        <f>IF(ISNUMBER('Ratio Calculations'!J39),'Ratio Calculations'!J39,NA())</f>
        <v>#N/A</v>
      </c>
      <c r="K100" s="69" t="e">
        <f>IF(ISNUMBER('Ratio Calculations'!K39),'Ratio Calculations'!K39,NA())</f>
        <v>#N/A</v>
      </c>
    </row>
    <row r="101" spans="1:11" x14ac:dyDescent="0.3">
      <c r="A101" s="13" t="s">
        <v>238</v>
      </c>
      <c r="B101" s="13" t="e">
        <f t="shared" ref="B101:K101" si="4">IF(AND(B$70&gt;="FY2020",B$70&lt;="FY2023"),1,NA())</f>
        <v>#N/A</v>
      </c>
      <c r="C101" s="13" t="e">
        <f t="shared" si="4"/>
        <v>#N/A</v>
      </c>
      <c r="D101" s="13" t="e">
        <f t="shared" si="4"/>
        <v>#N/A</v>
      </c>
      <c r="E101" s="13" t="e">
        <f t="shared" si="4"/>
        <v>#N/A</v>
      </c>
      <c r="F101" s="13">
        <f t="shared" si="4"/>
        <v>1</v>
      </c>
      <c r="G101" s="13">
        <f t="shared" si="4"/>
        <v>1</v>
      </c>
      <c r="H101" s="13">
        <f t="shared" si="4"/>
        <v>1</v>
      </c>
      <c r="I101" s="13">
        <f t="shared" si="4"/>
        <v>1</v>
      </c>
      <c r="J101" s="13" t="e">
        <f t="shared" si="4"/>
        <v>#N/A</v>
      </c>
      <c r="K101" s="13" t="e">
        <f t="shared" si="4"/>
        <v>#N/A</v>
      </c>
    </row>
    <row r="103" spans="1:11" x14ac:dyDescent="0.3">
      <c r="A103" s="12" t="s">
        <v>190</v>
      </c>
      <c r="B103" s="66">
        <f>IF(ISNUMBER('Ratio Calculations'!B49),'Ratio Calculations'!B49,NA())</f>
        <v>5.6475573217666941E-3</v>
      </c>
      <c r="C103" s="66">
        <f>IF(ISNUMBER('Ratio Calculations'!C49),'Ratio Calculations'!C49,NA())</f>
        <v>3.000932857139893E-2</v>
      </c>
      <c r="D103" s="66">
        <f>IF(ISNUMBER('Ratio Calculations'!D49),'Ratio Calculations'!D49,NA())</f>
        <v>2.9385127107618425E-2</v>
      </c>
      <c r="E103" s="66">
        <f>IF(ISNUMBER('Ratio Calculations'!E49),'Ratio Calculations'!E49,NA())</f>
        <v>1.8805515657546401E-2</v>
      </c>
      <c r="F103" s="66">
        <f>IF(ISNUMBER('Ratio Calculations'!F49),'Ratio Calculations'!F49,NA())</f>
        <v>6.7907740716948162E-2</v>
      </c>
      <c r="G103" s="66">
        <f>IF(ISNUMBER('Ratio Calculations'!G49),'Ratio Calculations'!G49,NA())</f>
        <v>2.2565301414001038E-2</v>
      </c>
      <c r="H103" s="66">
        <f>IF(ISNUMBER('Ratio Calculations'!H49),'Ratio Calculations'!H49,NA())</f>
        <v>6.7139047699564358E-2</v>
      </c>
      <c r="I103" s="66">
        <f>IF(ISNUMBER('Ratio Calculations'!I49),'Ratio Calculations'!I49,NA())</f>
        <v>6.0665378184824981E-2</v>
      </c>
      <c r="J103" s="66">
        <f>IF(ISNUMBER('Ratio Calculations'!J49),'Ratio Calculations'!J49,NA())</f>
        <v>4.9640776986074497E-2</v>
      </c>
      <c r="K103" s="66">
        <f>IF(ISNUMBER('Ratio Calculations'!K49),'Ratio Calculations'!K49,NA())</f>
        <v>4.7254565346948496E-2</v>
      </c>
    </row>
    <row r="104" spans="1:11" x14ac:dyDescent="0.3">
      <c r="A104" s="12" t="s">
        <v>191</v>
      </c>
      <c r="B104" s="66">
        <f>IF(ISNUMBER('Ratio Calculations'!B50),'Ratio Calculations'!B50,NA())</f>
        <v>2.1176077279045691E-2</v>
      </c>
      <c r="C104" s="66">
        <f>IF(ISNUMBER('Ratio Calculations'!C50),'Ratio Calculations'!C50,NA())</f>
        <v>8.7005591308917607E-2</v>
      </c>
      <c r="D104" s="66">
        <f>IF(ISNUMBER('Ratio Calculations'!D50),'Ratio Calculations'!D50,NA())</f>
        <v>9.7184795358716602E-2</v>
      </c>
      <c r="E104" s="66">
        <f>IF(ISNUMBER('Ratio Calculations'!E50),'Ratio Calculations'!E50,NA())</f>
        <v>7.8860684513919921E-2</v>
      </c>
      <c r="F104" s="66">
        <f>IF(ISNUMBER('Ratio Calculations'!F50),'Ratio Calculations'!F50,NA())</f>
        <v>9.2861781976685709E-2</v>
      </c>
      <c r="G104" s="66">
        <f>IF(ISNUMBER('Ratio Calculations'!G50),'Ratio Calculations'!G50,NA())</f>
        <v>0.17664501899277041</v>
      </c>
      <c r="H104" s="66">
        <f>IF(ISNUMBER('Ratio Calculations'!H50),'Ratio Calculations'!H50,NA())</f>
        <v>0.15973798762835067</v>
      </c>
      <c r="I104" s="66">
        <f>IF(ISNUMBER('Ratio Calculations'!I50),'Ratio Calculations'!I50,NA())</f>
        <v>6.72563193103759E-2</v>
      </c>
      <c r="J104" s="66">
        <f>IF(ISNUMBER('Ratio Calculations'!J50),'Ratio Calculations'!J50,NA())</f>
        <v>5.0124100795086557E-2</v>
      </c>
      <c r="K104" s="66">
        <f>IF(ISNUMBER('Ratio Calculations'!K50),'Ratio Calculations'!K50,NA())</f>
        <v>8.1269904857286024E-2</v>
      </c>
    </row>
    <row r="105" spans="1:11" x14ac:dyDescent="0.3">
      <c r="A105" s="12" t="s">
        <v>192</v>
      </c>
      <c r="B105" s="66">
        <f>IF(ISNUMBER('Ratio Calculations'!B51),'Ratio Calculations'!B51,NA())</f>
        <v>5.0141127196576596E-2</v>
      </c>
      <c r="C105" s="66">
        <f>IF(ISNUMBER('Ratio Calculations'!C51),'Ratio Calculations'!C51,NA())</f>
        <v>6.8867752759305345E-2</v>
      </c>
      <c r="D105" s="66">
        <f>IF(ISNUMBER('Ratio Calculations'!D51),'Ratio Calculations'!D51,NA())</f>
        <v>-1.158338741077225E-2</v>
      </c>
      <c r="E105" s="66">
        <f>IF(ISNUMBER('Ratio Calculations'!E51),'Ratio Calculations'!E51,NA())</f>
        <v>3.5616977973278452E-3</v>
      </c>
      <c r="F105" s="66">
        <f>IF(ISNUMBER('Ratio Calculations'!F51),'Ratio Calculations'!F51,NA())</f>
        <v>8.3509150679554445E-2</v>
      </c>
      <c r="G105" s="66">
        <f>IF(ISNUMBER('Ratio Calculations'!G51),'Ratio Calculations'!G51,NA())</f>
        <v>4.0679859318631273E-2</v>
      </c>
      <c r="H105" s="66">
        <f>IF(ISNUMBER('Ratio Calculations'!H51),'Ratio Calculations'!H51,NA())</f>
        <v>7.5205964260849356E-2</v>
      </c>
      <c r="I105" s="66">
        <f>IF(ISNUMBER('Ratio Calculations'!I51),'Ratio Calculations'!I51,NA())</f>
        <v>1.2012842477303165E-2</v>
      </c>
      <c r="J105" s="66">
        <f>IF(ISNUMBER('Ratio Calculations'!J51),'Ratio Calculations'!J51,NA())</f>
        <v>-1.9434946913802431E-2</v>
      </c>
      <c r="K105" s="66">
        <f>IF(ISNUMBER('Ratio Calculations'!K51),'Ratio Calculations'!K51,NA())</f>
        <v>3.5276605289451535E-3</v>
      </c>
    </row>
    <row r="106" spans="1:11" x14ac:dyDescent="0.3">
      <c r="A106" s="12" t="s">
        <v>193</v>
      </c>
      <c r="B106" s="66">
        <f>IF(ISNUMBER('Ratio Calculations'!B52),'Ratio Calculations'!B52,NA())</f>
        <v>9.4495671148024929E-3</v>
      </c>
      <c r="C106" s="66">
        <f>IF(ISNUMBER('Ratio Calculations'!C52),'Ratio Calculations'!C52,NA())</f>
        <v>3.226706179726313E-2</v>
      </c>
      <c r="D106" s="66">
        <f>IF(ISNUMBER('Ratio Calculations'!D52),'Ratio Calculations'!D52,NA())</f>
        <v>-2.3253850310726798E-2</v>
      </c>
      <c r="E106" s="66">
        <f>IF(ISNUMBER('Ratio Calculations'!E52),'Ratio Calculations'!E52,NA())</f>
        <v>1.6476771728418438E-2</v>
      </c>
      <c r="F106" s="66">
        <f>IF(ISNUMBER('Ratio Calculations'!F52),'Ratio Calculations'!F52,NA())</f>
        <v>8.7052660225880985E-2</v>
      </c>
      <c r="G106" s="66">
        <f>IF(ISNUMBER('Ratio Calculations'!G52),'Ratio Calculations'!G52,NA())</f>
        <v>0.15093099671412924</v>
      </c>
      <c r="H106" s="66">
        <f>IF(ISNUMBER('Ratio Calculations'!H52),'Ratio Calculations'!H52,NA())</f>
        <v>0.14667736146609389</v>
      </c>
      <c r="I106" s="66">
        <f>IF(ISNUMBER('Ratio Calculations'!I52),'Ratio Calculations'!I52,NA())</f>
        <v>2.1744027506076291E-2</v>
      </c>
      <c r="J106" s="66">
        <f>IF(ISNUMBER('Ratio Calculations'!J52),'Ratio Calculations'!J52,NA())</f>
        <v>4.7099641443971274E-2</v>
      </c>
      <c r="K106" s="66">
        <f>IF(ISNUMBER('Ratio Calculations'!K52),'Ratio Calculations'!K52,NA())</f>
        <v>3.077417495955137E-2</v>
      </c>
    </row>
    <row r="107" spans="1:11" x14ac:dyDescent="0.3">
      <c r="A107" s="12" t="s">
        <v>194</v>
      </c>
      <c r="B107" s="66">
        <f>IF(ISNUMBER('Ratio Calculations'!B53),'Ratio Calculations'!B53,NA())</f>
        <v>2.1768795893170489E-2</v>
      </c>
      <c r="C107" s="66">
        <f>IF(ISNUMBER('Ratio Calculations'!C53),'Ratio Calculations'!C53,NA())</f>
        <v>1.9460697023658158E-2</v>
      </c>
      <c r="D107" s="66" t="e">
        <f>IF(ISNUMBER('Ratio Calculations'!D53),'Ratio Calculations'!D53,NA())</f>
        <v>#N/A</v>
      </c>
      <c r="E107" s="66" t="e">
        <f>IF(ISNUMBER('Ratio Calculations'!E53),'Ratio Calculations'!E53,NA())</f>
        <v>#N/A</v>
      </c>
      <c r="F107" s="66" t="e">
        <f>IF(ISNUMBER('Ratio Calculations'!F53),'Ratio Calculations'!F53,NA())</f>
        <v>#N/A</v>
      </c>
      <c r="G107" s="66" t="e">
        <f>IF(ISNUMBER('Ratio Calculations'!G53),'Ratio Calculations'!G53,NA())</f>
        <v>#N/A</v>
      </c>
      <c r="H107" s="66" t="e">
        <f>IF(ISNUMBER('Ratio Calculations'!H53),'Ratio Calculations'!H53,NA())</f>
        <v>#N/A</v>
      </c>
      <c r="I107" s="66" t="e">
        <f>IF(ISNUMBER('Ratio Calculations'!I53),'Ratio Calculations'!I53,NA())</f>
        <v>#N/A</v>
      </c>
      <c r="J107" s="66" t="e">
        <f>IF(ISNUMBER('Ratio Calculations'!J53),'Ratio Calculations'!J53,NA())</f>
        <v>#N/A</v>
      </c>
      <c r="K107" s="66" t="e">
        <f>IF(ISNUMBER('Ratio Calculations'!K53),'Ratio Calculations'!K53,NA())</f>
        <v>#N/A</v>
      </c>
    </row>
    <row r="108" spans="1:11" x14ac:dyDescent="0.3">
      <c r="A108" s="13" t="s">
        <v>238</v>
      </c>
      <c r="B108" s="13" t="e">
        <f t="shared" ref="B108:K108" si="5">IF(AND(B$70&gt;="FY2020",B$70&lt;="FY2023"),1,NA())</f>
        <v>#N/A</v>
      </c>
      <c r="C108" s="13" t="e">
        <f t="shared" si="5"/>
        <v>#N/A</v>
      </c>
      <c r="D108" s="13" t="e">
        <f t="shared" si="5"/>
        <v>#N/A</v>
      </c>
      <c r="E108" s="13" t="e">
        <f t="shared" si="5"/>
        <v>#N/A</v>
      </c>
      <c r="F108" s="13">
        <f t="shared" si="5"/>
        <v>1</v>
      </c>
      <c r="G108" s="13">
        <f t="shared" si="5"/>
        <v>1</v>
      </c>
      <c r="H108" s="13">
        <f t="shared" si="5"/>
        <v>1</v>
      </c>
      <c r="I108" s="13">
        <f t="shared" si="5"/>
        <v>1</v>
      </c>
      <c r="J108" s="13" t="e">
        <f t="shared" si="5"/>
        <v>#N/A</v>
      </c>
      <c r="K108" s="13" t="e">
        <f t="shared" si="5"/>
        <v>#N/A</v>
      </c>
    </row>
  </sheetData>
  <printOptions horizontalCentered="1"/>
  <pageMargins left="0.75" right="0.75" top="1" bottom="1" header="0.5" footer="0.5"/>
  <pageSetup fitToHeight="0" orientation="landscape"/>
  <headerFooter>
    <oddFooter>&amp;CCompetitor Scorecard – Ryan Barry – &amp;D&amp;RPage &amp;P of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A1:B30"/>
  <sheetViews>
    <sheetView showGridLines="0" workbookViewId="0"/>
  </sheetViews>
  <sheetFormatPr defaultRowHeight="14.4" x14ac:dyDescent="0.3"/>
  <cols>
    <col min="1" max="1" width="30" customWidth="1"/>
    <col min="2" max="2" width="140" customWidth="1"/>
  </cols>
  <sheetData>
    <row r="1" spans="1:2" ht="13.95" customHeight="1" x14ac:dyDescent="0.3">
      <c r="A1" s="20" t="s">
        <v>239</v>
      </c>
      <c r="B1" s="14" t="s">
        <v>36</v>
      </c>
    </row>
    <row r="2" spans="1:2" ht="31.95" customHeight="1" x14ac:dyDescent="0.3">
      <c r="A2" s="16" t="s">
        <v>31</v>
      </c>
      <c r="B2" s="15"/>
    </row>
    <row r="3" spans="1:2" ht="18" customHeight="1" x14ac:dyDescent="0.3">
      <c r="A3" s="21" t="s">
        <v>240</v>
      </c>
    </row>
    <row r="4" spans="1:2" ht="19.95" customHeight="1" x14ac:dyDescent="0.3">
      <c r="A4" s="80" t="s">
        <v>241</v>
      </c>
      <c r="B4" s="81"/>
    </row>
    <row r="5" spans="1:2" ht="46.5" customHeight="1" x14ac:dyDescent="0.3">
      <c r="A5" s="70" t="s">
        <v>242</v>
      </c>
      <c r="B5" s="71" t="s">
        <v>243</v>
      </c>
    </row>
    <row r="6" spans="1:2" ht="31.05" customHeight="1" x14ac:dyDescent="0.3">
      <c r="A6" s="70" t="s">
        <v>244</v>
      </c>
      <c r="B6" s="71" t="s">
        <v>245</v>
      </c>
    </row>
    <row r="7" spans="1:2" ht="61.95" customHeight="1" x14ac:dyDescent="0.3">
      <c r="A7" s="70" t="s">
        <v>246</v>
      </c>
      <c r="B7" s="71" t="s">
        <v>247</v>
      </c>
    </row>
    <row r="8" spans="1:2" ht="19.95" customHeight="1" x14ac:dyDescent="0.3">
      <c r="A8" s="80" t="s">
        <v>248</v>
      </c>
      <c r="B8" s="81"/>
    </row>
    <row r="9" spans="1:2" ht="31.05" customHeight="1" x14ac:dyDescent="0.3">
      <c r="A9" s="70" t="s">
        <v>249</v>
      </c>
      <c r="B9" s="71" t="s">
        <v>250</v>
      </c>
    </row>
    <row r="10" spans="1:2" ht="31.05" customHeight="1" x14ac:dyDescent="0.3">
      <c r="A10" s="70" t="s">
        <v>251</v>
      </c>
      <c r="B10" s="71" t="s">
        <v>252</v>
      </c>
    </row>
    <row r="11" spans="1:2" ht="31.05" customHeight="1" x14ac:dyDescent="0.3">
      <c r="A11" s="70" t="s">
        <v>253</v>
      </c>
      <c r="B11" s="71" t="s">
        <v>254</v>
      </c>
    </row>
    <row r="12" spans="1:2" ht="15.45" customHeight="1" x14ac:dyDescent="0.3">
      <c r="A12" s="70" t="s">
        <v>255</v>
      </c>
      <c r="B12" s="71" t="s">
        <v>256</v>
      </c>
    </row>
    <row r="13" spans="1:2" ht="15.45" customHeight="1" x14ac:dyDescent="0.3">
      <c r="A13" s="70" t="s">
        <v>257</v>
      </c>
      <c r="B13" s="71" t="s">
        <v>258</v>
      </c>
    </row>
    <row r="14" spans="1:2" ht="31.05" customHeight="1" x14ac:dyDescent="0.3">
      <c r="A14" s="70" t="s">
        <v>259</v>
      </c>
      <c r="B14" s="71" t="s">
        <v>260</v>
      </c>
    </row>
    <row r="15" spans="1:2" ht="31.05" customHeight="1" x14ac:dyDescent="0.3">
      <c r="A15" s="70" t="s">
        <v>261</v>
      </c>
      <c r="B15" s="71" t="s">
        <v>262</v>
      </c>
    </row>
    <row r="16" spans="1:2" ht="31.05" customHeight="1" x14ac:dyDescent="0.3">
      <c r="A16" s="70" t="s">
        <v>263</v>
      </c>
      <c r="B16" s="71" t="s">
        <v>264</v>
      </c>
    </row>
    <row r="17" spans="1:2" ht="19.95" customHeight="1" x14ac:dyDescent="0.3">
      <c r="A17" s="80" t="s">
        <v>265</v>
      </c>
      <c r="B17" s="81"/>
    </row>
    <row r="18" spans="1:2" ht="77.55" customHeight="1" x14ac:dyDescent="0.3">
      <c r="A18" s="70" t="s">
        <v>266</v>
      </c>
      <c r="B18" s="71" t="s">
        <v>267</v>
      </c>
    </row>
    <row r="19" spans="1:2" ht="46.5" customHeight="1" x14ac:dyDescent="0.3">
      <c r="A19" s="70" t="s">
        <v>268</v>
      </c>
      <c r="B19" s="71" t="s">
        <v>269</v>
      </c>
    </row>
    <row r="20" spans="1:2" ht="46.5" customHeight="1" x14ac:dyDescent="0.3">
      <c r="A20" s="70" t="s">
        <v>270</v>
      </c>
      <c r="B20" s="71" t="s">
        <v>271</v>
      </c>
    </row>
    <row r="21" spans="1:2" ht="108.45" customHeight="1" x14ac:dyDescent="0.3">
      <c r="A21" s="70" t="s">
        <v>272</v>
      </c>
      <c r="B21" s="71" t="s">
        <v>273</v>
      </c>
    </row>
    <row r="22" spans="1:2" ht="31.05" customHeight="1" x14ac:dyDescent="0.3">
      <c r="A22" s="70" t="s">
        <v>274</v>
      </c>
      <c r="B22" s="71" t="s">
        <v>275</v>
      </c>
    </row>
    <row r="23" spans="1:2" ht="31.05" customHeight="1" x14ac:dyDescent="0.3">
      <c r="A23" s="70" t="s">
        <v>276</v>
      </c>
      <c r="B23" s="71" t="s">
        <v>277</v>
      </c>
    </row>
    <row r="24" spans="1:2" ht="31.05" customHeight="1" x14ac:dyDescent="0.3">
      <c r="A24" s="70" t="s">
        <v>278</v>
      </c>
      <c r="B24" s="71" t="s">
        <v>279</v>
      </c>
    </row>
    <row r="25" spans="1:2" ht="19.95" customHeight="1" x14ac:dyDescent="0.3">
      <c r="A25" s="80" t="s">
        <v>280</v>
      </c>
      <c r="B25" s="81"/>
    </row>
    <row r="26" spans="1:2" ht="31.05" customHeight="1" x14ac:dyDescent="0.3">
      <c r="A26" s="70" t="s">
        <v>281</v>
      </c>
      <c r="B26" s="71" t="s">
        <v>282</v>
      </c>
    </row>
    <row r="27" spans="1:2" ht="31.05" customHeight="1" x14ac:dyDescent="0.3">
      <c r="A27" s="70" t="s">
        <v>283</v>
      </c>
      <c r="B27" s="71" t="s">
        <v>284</v>
      </c>
    </row>
    <row r="28" spans="1:2" ht="19.95" customHeight="1" x14ac:dyDescent="0.3">
      <c r="A28" s="80" t="s">
        <v>285</v>
      </c>
      <c r="B28" s="81"/>
    </row>
    <row r="29" spans="1:2" ht="46.5" customHeight="1" x14ac:dyDescent="0.3">
      <c r="A29" s="70" t="s">
        <v>286</v>
      </c>
      <c r="B29" s="71" t="s">
        <v>287</v>
      </c>
    </row>
    <row r="30" spans="1:2" ht="15.45" customHeight="1" x14ac:dyDescent="0.3">
      <c r="A30" s="70" t="s">
        <v>288</v>
      </c>
      <c r="B30" s="71" t="s">
        <v>289</v>
      </c>
    </row>
  </sheetData>
  <mergeCells count="5">
    <mergeCell ref="A4:B4"/>
    <mergeCell ref="A25:B25"/>
    <mergeCell ref="A28:B28"/>
    <mergeCell ref="A17:B17"/>
    <mergeCell ref="A8:B8"/>
  </mergeCells>
  <printOptions horizontalCentered="1"/>
  <pageMargins left="0.75" right="0.75" top="1" bottom="1" header="0.5" footer="0.5"/>
  <pageSetup fitToHeight="0" orientation="landscape"/>
  <headerFooter>
    <oddFooter>&amp;CCompetitor Scorecard – Ryan Barry – &amp;D&amp;RPage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pageSetUpPr fitToPage="1"/>
  </sheetPr>
  <dimension ref="A1:Q662"/>
  <sheetViews>
    <sheetView workbookViewId="0">
      <pane xSplit="2" ySplit="4" topLeftCell="C5" activePane="bottomRight" state="frozen"/>
      <selection pane="topRight"/>
      <selection pane="bottomLeft"/>
      <selection pane="bottomRight"/>
    </sheetView>
  </sheetViews>
  <sheetFormatPr defaultRowHeight="14.4" x14ac:dyDescent="0.3"/>
  <cols>
    <col min="1" max="1" width="12" customWidth="1"/>
    <col min="2" max="2" width="30" customWidth="1"/>
    <col min="3" max="3" width="10" customWidth="1"/>
    <col min="4" max="5" width="12" customWidth="1"/>
    <col min="6" max="6" width="18" customWidth="1"/>
    <col min="7" max="7" width="52" customWidth="1"/>
    <col min="8" max="8" width="40" customWidth="1"/>
    <col min="9" max="9" width="22" customWidth="1"/>
    <col min="10" max="10" width="11" customWidth="1"/>
    <col min="11" max="11" width="10" customWidth="1"/>
    <col min="12" max="12" width="9" customWidth="1"/>
    <col min="13" max="13" width="18" customWidth="1"/>
    <col min="14" max="14" width="11" customWidth="1"/>
    <col min="15" max="15" width="8" customWidth="1"/>
    <col min="16" max="16" width="70" customWidth="1"/>
    <col min="17" max="17" width="40" customWidth="1"/>
  </cols>
  <sheetData>
    <row r="1" spans="1:17" ht="13.95" customHeight="1" x14ac:dyDescent="0.3">
      <c r="A1" s="20" t="s">
        <v>290</v>
      </c>
      <c r="B1" s="1"/>
      <c r="C1" s="1"/>
      <c r="D1" s="1"/>
      <c r="E1" s="1"/>
      <c r="F1" s="1"/>
      <c r="G1" s="1"/>
      <c r="H1" s="1"/>
      <c r="I1" s="1"/>
      <c r="J1" s="1"/>
      <c r="K1" s="1"/>
      <c r="L1" s="1"/>
      <c r="M1" s="1"/>
      <c r="N1" s="1"/>
      <c r="O1" s="1"/>
      <c r="P1" s="1"/>
      <c r="Q1" s="14" t="s">
        <v>36</v>
      </c>
    </row>
    <row r="2" spans="1:17" ht="31.95" customHeight="1" x14ac:dyDescent="0.3">
      <c r="A2" s="16" t="s">
        <v>33</v>
      </c>
      <c r="B2" s="15"/>
      <c r="C2" s="15"/>
      <c r="D2" s="15"/>
      <c r="E2" s="15"/>
      <c r="F2" s="15"/>
      <c r="G2" s="15"/>
      <c r="H2" s="15"/>
      <c r="I2" s="15"/>
      <c r="J2" s="15"/>
      <c r="K2" s="15"/>
      <c r="L2" s="15"/>
      <c r="M2" s="15"/>
      <c r="N2" s="15"/>
      <c r="O2" s="15"/>
      <c r="P2" s="15"/>
      <c r="Q2" s="15"/>
    </row>
    <row r="3" spans="1:17" ht="18" customHeight="1" x14ac:dyDescent="0.3">
      <c r="A3" s="21" t="s">
        <v>291</v>
      </c>
    </row>
    <row r="4" spans="1:17" x14ac:dyDescent="0.3">
      <c r="A4" s="22" t="s">
        <v>185</v>
      </c>
      <c r="B4" s="22" t="s">
        <v>52</v>
      </c>
      <c r="C4" s="22" t="s">
        <v>159</v>
      </c>
      <c r="D4" s="22" t="s">
        <v>292</v>
      </c>
      <c r="E4" s="22" t="s">
        <v>293</v>
      </c>
      <c r="F4" s="22" t="s">
        <v>294</v>
      </c>
      <c r="G4" s="22" t="s">
        <v>295</v>
      </c>
      <c r="H4" s="22" t="s">
        <v>296</v>
      </c>
      <c r="I4" s="22" t="s">
        <v>161</v>
      </c>
      <c r="J4" s="22" t="s">
        <v>162</v>
      </c>
      <c r="K4" s="22" t="s">
        <v>18</v>
      </c>
      <c r="L4" s="22" t="s">
        <v>297</v>
      </c>
      <c r="M4" s="22" t="s">
        <v>298</v>
      </c>
      <c r="N4" s="22" t="s">
        <v>299</v>
      </c>
      <c r="O4" s="22" t="s">
        <v>300</v>
      </c>
      <c r="P4" s="22" t="s">
        <v>301</v>
      </c>
      <c r="Q4" s="22" t="s">
        <v>302</v>
      </c>
    </row>
    <row r="5" spans="1:17" x14ac:dyDescent="0.3">
      <c r="A5" s="13" t="s">
        <v>303</v>
      </c>
      <c r="B5" s="13" t="s">
        <v>58</v>
      </c>
      <c r="C5" s="13">
        <v>2016</v>
      </c>
      <c r="D5" s="13" t="s">
        <v>304</v>
      </c>
      <c r="E5" s="13" t="s">
        <v>305</v>
      </c>
      <c r="F5" s="72">
        <v>0</v>
      </c>
      <c r="G5" s="13" t="s">
        <v>306</v>
      </c>
      <c r="H5" s="13" t="s">
        <v>307</v>
      </c>
      <c r="I5" s="13" t="s">
        <v>308</v>
      </c>
      <c r="J5" s="13" t="s">
        <v>309</v>
      </c>
      <c r="K5" s="13" t="s">
        <v>310</v>
      </c>
      <c r="L5" s="13"/>
      <c r="M5" s="72">
        <v>0</v>
      </c>
      <c r="N5" s="13" t="s">
        <v>309</v>
      </c>
      <c r="O5" s="13">
        <v>1</v>
      </c>
      <c r="P5" s="13" t="s">
        <v>311</v>
      </c>
      <c r="Q5" s="73" t="s">
        <v>312</v>
      </c>
    </row>
    <row r="6" spans="1:17" x14ac:dyDescent="0.3">
      <c r="A6" s="13" t="s">
        <v>303</v>
      </c>
      <c r="B6" s="13" t="s">
        <v>58</v>
      </c>
      <c r="C6" s="13">
        <v>2017</v>
      </c>
      <c r="D6" s="13" t="s">
        <v>313</v>
      </c>
      <c r="E6" s="13" t="s">
        <v>314</v>
      </c>
      <c r="F6" s="72">
        <v>5798000000</v>
      </c>
      <c r="G6" s="13" t="s">
        <v>306</v>
      </c>
      <c r="H6" s="13" t="s">
        <v>307</v>
      </c>
      <c r="I6" s="13" t="s">
        <v>315</v>
      </c>
      <c r="J6" s="13" t="s">
        <v>316</v>
      </c>
      <c r="K6" s="13" t="s">
        <v>310</v>
      </c>
      <c r="L6" s="13"/>
      <c r="M6" s="72">
        <v>5798000000</v>
      </c>
      <c r="N6" s="13" t="s">
        <v>309</v>
      </c>
      <c r="O6" s="13">
        <v>2</v>
      </c>
      <c r="P6" s="13" t="s">
        <v>317</v>
      </c>
      <c r="Q6" s="73" t="s">
        <v>318</v>
      </c>
    </row>
    <row r="7" spans="1:17" x14ac:dyDescent="0.3">
      <c r="A7" s="13" t="s">
        <v>303</v>
      </c>
      <c r="B7" s="13" t="s">
        <v>58</v>
      </c>
      <c r="C7" s="13">
        <v>2018</v>
      </c>
      <c r="D7" s="13" t="s">
        <v>319</v>
      </c>
      <c r="E7" s="13" t="s">
        <v>320</v>
      </c>
      <c r="F7" s="72">
        <v>17224000000</v>
      </c>
      <c r="G7" s="13" t="s">
        <v>306</v>
      </c>
      <c r="H7" s="13" t="s">
        <v>307</v>
      </c>
      <c r="I7" s="13" t="s">
        <v>321</v>
      </c>
      <c r="J7" s="13" t="s">
        <v>322</v>
      </c>
      <c r="K7" s="13" t="s">
        <v>310</v>
      </c>
      <c r="L7" s="13"/>
      <c r="M7" s="72">
        <v>17224000000</v>
      </c>
      <c r="N7" s="13" t="s">
        <v>309</v>
      </c>
      <c r="O7" s="13">
        <v>3</v>
      </c>
      <c r="P7" s="13" t="s">
        <v>323</v>
      </c>
      <c r="Q7" s="73" t="s">
        <v>324</v>
      </c>
    </row>
    <row r="8" spans="1:17" x14ac:dyDescent="0.3">
      <c r="A8" s="13" t="s">
        <v>303</v>
      </c>
      <c r="B8" s="13" t="s">
        <v>58</v>
      </c>
      <c r="C8" s="13">
        <v>2019</v>
      </c>
      <c r="D8" s="13" t="s">
        <v>325</v>
      </c>
      <c r="E8" s="13" t="s">
        <v>326</v>
      </c>
      <c r="F8" s="72">
        <v>17192000000</v>
      </c>
      <c r="G8" s="13" t="s">
        <v>306</v>
      </c>
      <c r="H8" s="13" t="s">
        <v>307</v>
      </c>
      <c r="I8" s="13" t="s">
        <v>327</v>
      </c>
      <c r="J8" s="13" t="s">
        <v>328</v>
      </c>
      <c r="K8" s="13" t="s">
        <v>310</v>
      </c>
      <c r="L8" s="13"/>
      <c r="M8" s="72">
        <v>17192000000</v>
      </c>
      <c r="N8" s="13" t="s">
        <v>316</v>
      </c>
      <c r="O8" s="13">
        <v>3</v>
      </c>
      <c r="P8" s="13" t="s">
        <v>329</v>
      </c>
      <c r="Q8" s="73" t="s">
        <v>330</v>
      </c>
    </row>
    <row r="9" spans="1:17" x14ac:dyDescent="0.3">
      <c r="A9" s="13" t="s">
        <v>303</v>
      </c>
      <c r="B9" s="13" t="s">
        <v>58</v>
      </c>
      <c r="C9" s="13">
        <v>2020</v>
      </c>
      <c r="D9" s="13" t="s">
        <v>331</v>
      </c>
      <c r="E9" s="13" t="s">
        <v>332</v>
      </c>
      <c r="F9" s="72">
        <v>16227000000</v>
      </c>
      <c r="G9" s="13" t="s">
        <v>306</v>
      </c>
      <c r="H9" s="13" t="s">
        <v>307</v>
      </c>
      <c r="I9" s="13" t="s">
        <v>333</v>
      </c>
      <c r="J9" s="13" t="s">
        <v>334</v>
      </c>
      <c r="K9" s="13" t="s">
        <v>310</v>
      </c>
      <c r="L9" s="13"/>
      <c r="M9" s="72">
        <v>16227000000</v>
      </c>
      <c r="N9" s="13" t="s">
        <v>322</v>
      </c>
      <c r="O9" s="13">
        <v>3</v>
      </c>
      <c r="P9" s="13" t="s">
        <v>335</v>
      </c>
      <c r="Q9" s="73" t="s">
        <v>336</v>
      </c>
    </row>
    <row r="10" spans="1:17" x14ac:dyDescent="0.3">
      <c r="A10" s="13" t="s">
        <v>303</v>
      </c>
      <c r="B10" s="13" t="s">
        <v>58</v>
      </c>
      <c r="C10" s="13">
        <v>2021</v>
      </c>
      <c r="D10" s="13" t="s">
        <v>337</v>
      </c>
      <c r="E10" s="13" t="s">
        <v>338</v>
      </c>
      <c r="F10" s="72">
        <v>17075000000</v>
      </c>
      <c r="G10" s="13" t="s">
        <v>306</v>
      </c>
      <c r="H10" s="13" t="s">
        <v>307</v>
      </c>
      <c r="I10" s="13" t="s">
        <v>339</v>
      </c>
      <c r="J10" s="13" t="s">
        <v>340</v>
      </c>
      <c r="K10" s="13" t="s">
        <v>310</v>
      </c>
      <c r="L10" s="13"/>
      <c r="M10" s="72">
        <v>17075000000</v>
      </c>
      <c r="N10" s="13" t="s">
        <v>328</v>
      </c>
      <c r="O10" s="13">
        <v>3</v>
      </c>
      <c r="P10" s="13" t="s">
        <v>341</v>
      </c>
      <c r="Q10" s="73" t="s">
        <v>342</v>
      </c>
    </row>
    <row r="11" spans="1:17" x14ac:dyDescent="0.3">
      <c r="A11" s="13" t="s">
        <v>303</v>
      </c>
      <c r="B11" s="13" t="s">
        <v>58</v>
      </c>
      <c r="C11" s="13">
        <v>2022</v>
      </c>
      <c r="D11" s="13" t="s">
        <v>343</v>
      </c>
      <c r="E11" s="13" t="s">
        <v>344</v>
      </c>
      <c r="F11" s="72">
        <v>18963000000</v>
      </c>
      <c r="G11" s="13" t="s">
        <v>306</v>
      </c>
      <c r="H11" s="13" t="s">
        <v>307</v>
      </c>
      <c r="I11" s="13" t="s">
        <v>345</v>
      </c>
      <c r="J11" s="13" t="s">
        <v>346</v>
      </c>
      <c r="K11" s="13" t="s">
        <v>310</v>
      </c>
      <c r="L11" s="13"/>
      <c r="M11" s="72">
        <v>18963000000</v>
      </c>
      <c r="N11" s="13" t="s">
        <v>334</v>
      </c>
      <c r="O11" s="13">
        <v>3</v>
      </c>
      <c r="P11" s="13" t="s">
        <v>347</v>
      </c>
      <c r="Q11" s="73" t="s">
        <v>348</v>
      </c>
    </row>
    <row r="12" spans="1:17" x14ac:dyDescent="0.3">
      <c r="A12" s="13" t="s">
        <v>303</v>
      </c>
      <c r="B12" s="13" t="s">
        <v>58</v>
      </c>
      <c r="C12" s="13">
        <v>2023</v>
      </c>
      <c r="D12" s="13" t="s">
        <v>349</v>
      </c>
      <c r="E12" s="13" t="s">
        <v>350</v>
      </c>
      <c r="F12" s="72">
        <v>20030000000</v>
      </c>
      <c r="G12" s="13" t="s">
        <v>306</v>
      </c>
      <c r="H12" s="13" t="s">
        <v>307</v>
      </c>
      <c r="I12" s="13" t="s">
        <v>351</v>
      </c>
      <c r="J12" s="13" t="s">
        <v>352</v>
      </c>
      <c r="K12" s="13" t="s">
        <v>310</v>
      </c>
      <c r="L12" s="13"/>
      <c r="M12" s="72">
        <v>20030000000</v>
      </c>
      <c r="N12" s="13" t="s">
        <v>340</v>
      </c>
      <c r="O12" s="13">
        <v>3</v>
      </c>
      <c r="P12" s="13" t="s">
        <v>353</v>
      </c>
      <c r="Q12" s="73" t="s">
        <v>354</v>
      </c>
    </row>
    <row r="13" spans="1:17" x14ac:dyDescent="0.3">
      <c r="A13" s="13" t="s">
        <v>303</v>
      </c>
      <c r="B13" s="13" t="s">
        <v>58</v>
      </c>
      <c r="C13" s="13">
        <v>2024</v>
      </c>
      <c r="D13" s="13" t="s">
        <v>355</v>
      </c>
      <c r="E13" s="13" t="s">
        <v>356</v>
      </c>
      <c r="F13" s="72">
        <v>21215000000</v>
      </c>
      <c r="G13" s="13" t="s">
        <v>306</v>
      </c>
      <c r="H13" s="13" t="s">
        <v>307</v>
      </c>
      <c r="I13" s="13" t="s">
        <v>351</v>
      </c>
      <c r="J13" s="13" t="s">
        <v>352</v>
      </c>
      <c r="K13" s="13" t="s">
        <v>310</v>
      </c>
      <c r="L13" s="13"/>
      <c r="M13" s="72">
        <v>21215000000</v>
      </c>
      <c r="N13" s="13" t="s">
        <v>346</v>
      </c>
      <c r="O13" s="13">
        <v>2</v>
      </c>
      <c r="P13" s="13" t="s">
        <v>353</v>
      </c>
      <c r="Q13" s="73" t="s">
        <v>354</v>
      </c>
    </row>
    <row r="14" spans="1:17" x14ac:dyDescent="0.3">
      <c r="A14" s="13" t="s">
        <v>303</v>
      </c>
      <c r="B14" s="13" t="s">
        <v>58</v>
      </c>
      <c r="C14" s="13">
        <v>2025</v>
      </c>
      <c r="D14" s="13" t="s">
        <v>357</v>
      </c>
      <c r="E14" s="13" t="s">
        <v>358</v>
      </c>
      <c r="F14" s="72">
        <v>22561000000</v>
      </c>
      <c r="G14" s="13" t="s">
        <v>306</v>
      </c>
      <c r="H14" s="13" t="s">
        <v>307</v>
      </c>
      <c r="I14" s="13" t="s">
        <v>351</v>
      </c>
      <c r="J14" s="13" t="s">
        <v>352</v>
      </c>
      <c r="K14" s="13" t="s">
        <v>310</v>
      </c>
      <c r="L14" s="13"/>
      <c r="M14" s="72">
        <v>22561000000</v>
      </c>
      <c r="N14" s="13" t="s">
        <v>352</v>
      </c>
      <c r="O14" s="13">
        <v>1</v>
      </c>
      <c r="P14" s="13" t="s">
        <v>353</v>
      </c>
      <c r="Q14" s="73" t="s">
        <v>354</v>
      </c>
    </row>
    <row r="15" spans="1:17" x14ac:dyDescent="0.3">
      <c r="A15" s="13" t="s">
        <v>191</v>
      </c>
      <c r="B15" s="13" t="s">
        <v>61</v>
      </c>
      <c r="C15" s="13">
        <v>2015</v>
      </c>
      <c r="D15" s="13" t="s">
        <v>359</v>
      </c>
      <c r="E15" s="13" t="s">
        <v>360</v>
      </c>
      <c r="F15" s="72">
        <v>101065000000</v>
      </c>
      <c r="G15" s="13" t="s">
        <v>361</v>
      </c>
      <c r="H15" s="13"/>
      <c r="I15" s="13" t="s">
        <v>362</v>
      </c>
      <c r="J15" s="13" t="s">
        <v>363</v>
      </c>
      <c r="K15" s="13" t="s">
        <v>310</v>
      </c>
      <c r="L15" s="13"/>
      <c r="M15" s="72">
        <v>101065000000</v>
      </c>
      <c r="N15" s="13" t="s">
        <v>364</v>
      </c>
      <c r="O15" s="13">
        <v>3</v>
      </c>
      <c r="P15" s="13"/>
      <c r="Q15" s="73" t="s">
        <v>365</v>
      </c>
    </row>
    <row r="16" spans="1:17" x14ac:dyDescent="0.3">
      <c r="A16" s="13" t="s">
        <v>191</v>
      </c>
      <c r="B16" s="13" t="s">
        <v>61</v>
      </c>
      <c r="C16" s="13">
        <v>2016</v>
      </c>
      <c r="D16" s="13" t="s">
        <v>366</v>
      </c>
      <c r="E16" s="13" t="s">
        <v>367</v>
      </c>
      <c r="F16" s="72">
        <v>102901000000</v>
      </c>
      <c r="G16" s="13" t="s">
        <v>368</v>
      </c>
      <c r="H16" s="13"/>
      <c r="I16" s="13" t="s">
        <v>369</v>
      </c>
      <c r="J16" s="13" t="s">
        <v>370</v>
      </c>
      <c r="K16" s="13" t="s">
        <v>310</v>
      </c>
      <c r="L16" s="13"/>
      <c r="M16" s="72">
        <v>102901000000</v>
      </c>
      <c r="N16" s="13" t="s">
        <v>370</v>
      </c>
      <c r="O16" s="13">
        <v>1</v>
      </c>
      <c r="P16" s="13"/>
      <c r="Q16" s="73" t="s">
        <v>371</v>
      </c>
    </row>
    <row r="17" spans="1:17" x14ac:dyDescent="0.3">
      <c r="A17" s="13" t="s">
        <v>191</v>
      </c>
      <c r="B17" s="13" t="s">
        <v>61</v>
      </c>
      <c r="C17" s="13">
        <v>2017</v>
      </c>
      <c r="D17" s="13" t="s">
        <v>372</v>
      </c>
      <c r="E17" s="13" t="s">
        <v>373</v>
      </c>
      <c r="F17" s="72">
        <v>111882000000</v>
      </c>
      <c r="G17" s="13" t="s">
        <v>368</v>
      </c>
      <c r="H17" s="13"/>
      <c r="I17" s="13" t="s">
        <v>369</v>
      </c>
      <c r="J17" s="13" t="s">
        <v>370</v>
      </c>
      <c r="K17" s="13" t="s">
        <v>310</v>
      </c>
      <c r="L17" s="13"/>
      <c r="M17" s="72">
        <v>111882000000</v>
      </c>
      <c r="N17" s="13" t="s">
        <v>370</v>
      </c>
      <c r="O17" s="13">
        <v>1</v>
      </c>
      <c r="P17" s="13"/>
      <c r="Q17" s="73" t="s">
        <v>371</v>
      </c>
    </row>
    <row r="18" spans="1:17" x14ac:dyDescent="0.3">
      <c r="A18" s="13" t="s">
        <v>191</v>
      </c>
      <c r="B18" s="13" t="s">
        <v>61</v>
      </c>
      <c r="C18" s="13">
        <v>2018</v>
      </c>
      <c r="D18" s="13" t="s">
        <v>374</v>
      </c>
      <c r="E18" s="13" t="s">
        <v>375</v>
      </c>
      <c r="F18" s="72">
        <v>123152000000</v>
      </c>
      <c r="G18" s="13" t="s">
        <v>368</v>
      </c>
      <c r="H18" s="13"/>
      <c r="I18" s="13" t="s">
        <v>376</v>
      </c>
      <c r="J18" s="13" t="s">
        <v>377</v>
      </c>
      <c r="K18" s="13" t="s">
        <v>310</v>
      </c>
      <c r="L18" s="13"/>
      <c r="M18" s="72">
        <v>123152000000</v>
      </c>
      <c r="N18" s="13" t="s">
        <v>370</v>
      </c>
      <c r="O18" s="13">
        <v>2</v>
      </c>
      <c r="P18" s="13"/>
      <c r="Q18" s="73" t="s">
        <v>378</v>
      </c>
    </row>
    <row r="19" spans="1:17" x14ac:dyDescent="0.3">
      <c r="A19" s="13" t="s">
        <v>191</v>
      </c>
      <c r="B19" s="13" t="s">
        <v>61</v>
      </c>
      <c r="C19" s="13">
        <v>2019</v>
      </c>
      <c r="D19" s="13" t="s">
        <v>379</v>
      </c>
      <c r="E19" s="13" t="s">
        <v>380</v>
      </c>
      <c r="F19" s="72">
        <v>132886000000</v>
      </c>
      <c r="G19" s="13" t="s">
        <v>368</v>
      </c>
      <c r="H19" s="13"/>
      <c r="I19" s="13" t="s">
        <v>381</v>
      </c>
      <c r="J19" s="13" t="s">
        <v>382</v>
      </c>
      <c r="K19" s="13" t="s">
        <v>310</v>
      </c>
      <c r="L19" s="13"/>
      <c r="M19" s="72">
        <v>132886000000</v>
      </c>
      <c r="N19" s="13" t="s">
        <v>377</v>
      </c>
      <c r="O19" s="13">
        <v>2</v>
      </c>
      <c r="P19" s="13"/>
      <c r="Q19" s="73" t="s">
        <v>383</v>
      </c>
    </row>
    <row r="20" spans="1:17" x14ac:dyDescent="0.3">
      <c r="A20" s="13" t="s">
        <v>191</v>
      </c>
      <c r="B20" s="13" t="s">
        <v>61</v>
      </c>
      <c r="C20" s="13">
        <v>2020</v>
      </c>
      <c r="D20" s="13" t="s">
        <v>384</v>
      </c>
      <c r="E20" s="13" t="s">
        <v>385</v>
      </c>
      <c r="F20" s="72">
        <v>144939000000</v>
      </c>
      <c r="G20" s="13" t="s">
        <v>368</v>
      </c>
      <c r="H20" s="13"/>
      <c r="I20" s="13" t="s">
        <v>386</v>
      </c>
      <c r="J20" s="13" t="s">
        <v>387</v>
      </c>
      <c r="K20" s="13" t="s">
        <v>310</v>
      </c>
      <c r="L20" s="13"/>
      <c r="M20" s="72">
        <v>144939000000</v>
      </c>
      <c r="N20" s="13" t="s">
        <v>377</v>
      </c>
      <c r="O20" s="13">
        <v>3</v>
      </c>
      <c r="P20" s="13"/>
      <c r="Q20" s="73" t="s">
        <v>388</v>
      </c>
    </row>
    <row r="21" spans="1:17" x14ac:dyDescent="0.3">
      <c r="A21" s="13" t="s">
        <v>191</v>
      </c>
      <c r="B21" s="13" t="s">
        <v>61</v>
      </c>
      <c r="C21" s="13">
        <v>2021</v>
      </c>
      <c r="D21" s="13" t="s">
        <v>389</v>
      </c>
      <c r="E21" s="13" t="s">
        <v>390</v>
      </c>
      <c r="F21" s="72">
        <v>170684000000</v>
      </c>
      <c r="G21" s="13" t="s">
        <v>368</v>
      </c>
      <c r="H21" s="13"/>
      <c r="I21" s="13" t="s">
        <v>391</v>
      </c>
      <c r="J21" s="13" t="s">
        <v>392</v>
      </c>
      <c r="K21" s="13" t="s">
        <v>310</v>
      </c>
      <c r="L21" s="13"/>
      <c r="M21" s="72">
        <v>170684000000</v>
      </c>
      <c r="N21" s="13" t="s">
        <v>382</v>
      </c>
      <c r="O21" s="13">
        <v>3</v>
      </c>
      <c r="P21" s="13"/>
      <c r="Q21" s="73" t="s">
        <v>393</v>
      </c>
    </row>
    <row r="22" spans="1:17" x14ac:dyDescent="0.3">
      <c r="A22" s="13" t="s">
        <v>191</v>
      </c>
      <c r="B22" s="13" t="s">
        <v>61</v>
      </c>
      <c r="C22" s="13">
        <v>2022</v>
      </c>
      <c r="D22" s="13" t="s">
        <v>394</v>
      </c>
      <c r="E22" s="13" t="s">
        <v>395</v>
      </c>
      <c r="F22" s="72">
        <v>199382000000</v>
      </c>
      <c r="G22" s="13" t="s">
        <v>368</v>
      </c>
      <c r="H22" s="13"/>
      <c r="I22" s="13" t="s">
        <v>396</v>
      </c>
      <c r="J22" s="13" t="s">
        <v>397</v>
      </c>
      <c r="K22" s="13" t="s">
        <v>310</v>
      </c>
      <c r="L22" s="13"/>
      <c r="M22" s="72">
        <v>199382000000</v>
      </c>
      <c r="N22" s="13" t="s">
        <v>387</v>
      </c>
      <c r="O22" s="13">
        <v>3</v>
      </c>
      <c r="P22" s="13"/>
      <c r="Q22" s="73" t="s">
        <v>398</v>
      </c>
    </row>
    <row r="23" spans="1:17" x14ac:dyDescent="0.3">
      <c r="A23" s="13" t="s">
        <v>191</v>
      </c>
      <c r="B23" s="13" t="s">
        <v>61</v>
      </c>
      <c r="C23" s="13">
        <v>2023</v>
      </c>
      <c r="D23" s="13" t="s">
        <v>399</v>
      </c>
      <c r="E23" s="13" t="s">
        <v>400</v>
      </c>
      <c r="F23" s="72">
        <v>212586000000</v>
      </c>
      <c r="G23" s="13" t="s">
        <v>368</v>
      </c>
      <c r="H23" s="13"/>
      <c r="I23" s="13" t="s">
        <v>180</v>
      </c>
      <c r="J23" s="13" t="s">
        <v>181</v>
      </c>
      <c r="K23" s="13" t="s">
        <v>310</v>
      </c>
      <c r="L23" s="13"/>
      <c r="M23" s="72">
        <v>212586000000</v>
      </c>
      <c r="N23" s="13" t="s">
        <v>392</v>
      </c>
      <c r="O23" s="13">
        <v>3</v>
      </c>
      <c r="P23" s="13"/>
      <c r="Q23" s="73" t="s">
        <v>401</v>
      </c>
    </row>
    <row r="24" spans="1:17" x14ac:dyDescent="0.3">
      <c r="A24" s="13" t="s">
        <v>191</v>
      </c>
      <c r="B24" s="13" t="s">
        <v>61</v>
      </c>
      <c r="C24" s="13">
        <v>2024</v>
      </c>
      <c r="D24" s="13" t="s">
        <v>402</v>
      </c>
      <c r="E24" s="13" t="s">
        <v>403</v>
      </c>
      <c r="F24" s="72">
        <v>222358000000</v>
      </c>
      <c r="G24" s="13" t="s">
        <v>368</v>
      </c>
      <c r="H24" s="13"/>
      <c r="I24" s="13" t="s">
        <v>180</v>
      </c>
      <c r="J24" s="13" t="s">
        <v>181</v>
      </c>
      <c r="K24" s="13" t="s">
        <v>310</v>
      </c>
      <c r="L24" s="13"/>
      <c r="M24" s="72">
        <v>222358000000</v>
      </c>
      <c r="N24" s="13" t="s">
        <v>397</v>
      </c>
      <c r="O24" s="13">
        <v>2</v>
      </c>
      <c r="P24" s="13"/>
      <c r="Q24" s="73" t="s">
        <v>401</v>
      </c>
    </row>
    <row r="25" spans="1:17" x14ac:dyDescent="0.3">
      <c r="A25" s="13" t="s">
        <v>191</v>
      </c>
      <c r="B25" s="13" t="s">
        <v>61</v>
      </c>
      <c r="C25" s="13">
        <v>2025</v>
      </c>
      <c r="D25" s="13" t="s">
        <v>404</v>
      </c>
      <c r="E25" s="13" t="s">
        <v>405</v>
      </c>
      <c r="F25" s="72">
        <v>239886000000</v>
      </c>
      <c r="G25" s="13" t="s">
        <v>368</v>
      </c>
      <c r="H25" s="13"/>
      <c r="I25" s="13" t="s">
        <v>180</v>
      </c>
      <c r="J25" s="13" t="s">
        <v>181</v>
      </c>
      <c r="K25" s="13" t="s">
        <v>310</v>
      </c>
      <c r="L25" s="13"/>
      <c r="M25" s="72">
        <v>239886000000</v>
      </c>
      <c r="N25" s="13" t="s">
        <v>181</v>
      </c>
      <c r="O25" s="13">
        <v>1</v>
      </c>
      <c r="P25" s="13"/>
      <c r="Q25" s="73" t="s">
        <v>401</v>
      </c>
    </row>
    <row r="26" spans="1:17" x14ac:dyDescent="0.3">
      <c r="A26" s="13" t="s">
        <v>191</v>
      </c>
      <c r="B26" s="13" t="s">
        <v>66</v>
      </c>
      <c r="C26" s="13">
        <v>2015</v>
      </c>
      <c r="D26" s="13"/>
      <c r="E26" s="13" t="s">
        <v>360</v>
      </c>
      <c r="F26" s="72">
        <v>16779000000</v>
      </c>
      <c r="G26" s="13" t="s">
        <v>67</v>
      </c>
      <c r="H26" s="13"/>
      <c r="I26" s="13" t="s">
        <v>406</v>
      </c>
      <c r="J26" s="13" t="s">
        <v>407</v>
      </c>
      <c r="K26" s="13" t="s">
        <v>310</v>
      </c>
      <c r="L26" s="13" t="s">
        <v>408</v>
      </c>
      <c r="M26" s="72">
        <v>17299000000</v>
      </c>
      <c r="N26" s="13" t="s">
        <v>364</v>
      </c>
      <c r="O26" s="13">
        <v>2</v>
      </c>
      <c r="P26" s="13"/>
      <c r="Q26" s="73" t="s">
        <v>409</v>
      </c>
    </row>
    <row r="27" spans="1:17" x14ac:dyDescent="0.3">
      <c r="A27" s="13" t="s">
        <v>191</v>
      </c>
      <c r="B27" s="13" t="s">
        <v>66</v>
      </c>
      <c r="C27" s="13">
        <v>2016</v>
      </c>
      <c r="D27" s="13"/>
      <c r="E27" s="13" t="s">
        <v>367</v>
      </c>
      <c r="F27" s="72">
        <v>15218000000</v>
      </c>
      <c r="G27" s="13" t="s">
        <v>67</v>
      </c>
      <c r="H27" s="13"/>
      <c r="I27" s="13" t="s">
        <v>362</v>
      </c>
      <c r="J27" s="13" t="s">
        <v>363</v>
      </c>
      <c r="K27" s="13" t="s">
        <v>310</v>
      </c>
      <c r="L27" s="13"/>
      <c r="M27" s="72">
        <v>15218000000</v>
      </c>
      <c r="N27" s="13" t="s">
        <v>407</v>
      </c>
      <c r="O27" s="13">
        <v>2</v>
      </c>
      <c r="P27" s="13"/>
      <c r="Q27" s="73" t="s">
        <v>365</v>
      </c>
    </row>
    <row r="28" spans="1:17" x14ac:dyDescent="0.3">
      <c r="A28" s="13" t="s">
        <v>191</v>
      </c>
      <c r="B28" s="13" t="s">
        <v>66</v>
      </c>
      <c r="C28" s="13">
        <v>2017</v>
      </c>
      <c r="D28" s="13"/>
      <c r="E28" s="13" t="s">
        <v>373</v>
      </c>
      <c r="F28" s="72">
        <v>17317000000</v>
      </c>
      <c r="G28" s="13" t="s">
        <v>67</v>
      </c>
      <c r="H28" s="13"/>
      <c r="I28" s="13" t="s">
        <v>369</v>
      </c>
      <c r="J28" s="13" t="s">
        <v>370</v>
      </c>
      <c r="K28" s="13" t="s">
        <v>310</v>
      </c>
      <c r="L28" s="13"/>
      <c r="M28" s="72">
        <v>17317000000</v>
      </c>
      <c r="N28" s="13" t="s">
        <v>363</v>
      </c>
      <c r="O28" s="13">
        <v>2</v>
      </c>
      <c r="P28" s="13"/>
      <c r="Q28" s="73" t="s">
        <v>371</v>
      </c>
    </row>
    <row r="29" spans="1:17" x14ac:dyDescent="0.3">
      <c r="A29" s="13" t="s">
        <v>191</v>
      </c>
      <c r="B29" s="13" t="s">
        <v>66</v>
      </c>
      <c r="C29" s="13">
        <v>2018</v>
      </c>
      <c r="D29" s="13"/>
      <c r="E29" s="13" t="s">
        <v>375</v>
      </c>
      <c r="F29" s="72">
        <v>20289000000</v>
      </c>
      <c r="G29" s="13" t="s">
        <v>67</v>
      </c>
      <c r="H29" s="13"/>
      <c r="I29" s="13" t="s">
        <v>369</v>
      </c>
      <c r="J29" s="13" t="s">
        <v>370</v>
      </c>
      <c r="K29" s="13" t="s">
        <v>310</v>
      </c>
      <c r="L29" s="13"/>
      <c r="M29" s="72">
        <v>20289000000</v>
      </c>
      <c r="N29" s="13" t="s">
        <v>370</v>
      </c>
      <c r="O29" s="13">
        <v>1</v>
      </c>
      <c r="P29" s="13"/>
      <c r="Q29" s="73" t="s">
        <v>371</v>
      </c>
    </row>
    <row r="30" spans="1:17" x14ac:dyDescent="0.3">
      <c r="A30" s="13" t="s">
        <v>191</v>
      </c>
      <c r="B30" s="13" t="s">
        <v>66</v>
      </c>
      <c r="C30" s="13">
        <v>2019</v>
      </c>
      <c r="D30" s="13"/>
      <c r="E30" s="13" t="s">
        <v>380</v>
      </c>
      <c r="F30" s="72">
        <v>23485000000</v>
      </c>
      <c r="G30" s="13" t="s">
        <v>67</v>
      </c>
      <c r="H30" s="13"/>
      <c r="I30" s="13" t="s">
        <v>376</v>
      </c>
      <c r="J30" s="13" t="s">
        <v>377</v>
      </c>
      <c r="K30" s="13" t="s">
        <v>310</v>
      </c>
      <c r="L30" s="13"/>
      <c r="M30" s="72">
        <v>23485000000</v>
      </c>
      <c r="N30" s="13" t="s">
        <v>377</v>
      </c>
      <c r="O30" s="13">
        <v>1</v>
      </c>
      <c r="P30" s="13"/>
      <c r="Q30" s="73" t="s">
        <v>378</v>
      </c>
    </row>
    <row r="31" spans="1:17" x14ac:dyDescent="0.3">
      <c r="A31" s="13" t="s">
        <v>191</v>
      </c>
      <c r="B31" s="13" t="s">
        <v>66</v>
      </c>
      <c r="C31" s="13">
        <v>2020</v>
      </c>
      <c r="D31" s="13"/>
      <c r="E31" s="13" t="s">
        <v>385</v>
      </c>
      <c r="F31" s="72">
        <v>28120000000</v>
      </c>
      <c r="G31" s="13" t="s">
        <v>67</v>
      </c>
      <c r="H31" s="13"/>
      <c r="I31" s="13" t="s">
        <v>381</v>
      </c>
      <c r="J31" s="13" t="s">
        <v>382</v>
      </c>
      <c r="K31" s="13" t="s">
        <v>310</v>
      </c>
      <c r="L31" s="13"/>
      <c r="M31" s="72">
        <v>28120000000</v>
      </c>
      <c r="N31" s="13" t="s">
        <v>377</v>
      </c>
      <c r="O31" s="13">
        <v>2</v>
      </c>
      <c r="P31" s="13"/>
      <c r="Q31" s="73" t="s">
        <v>383</v>
      </c>
    </row>
    <row r="32" spans="1:17" x14ac:dyDescent="0.3">
      <c r="A32" s="13" t="s">
        <v>191</v>
      </c>
      <c r="B32" s="13" t="s">
        <v>66</v>
      </c>
      <c r="C32" s="13">
        <v>2021</v>
      </c>
      <c r="D32" s="13"/>
      <c r="E32" s="13" t="s">
        <v>390</v>
      </c>
      <c r="F32" s="72">
        <v>29505000000</v>
      </c>
      <c r="G32" s="13" t="s">
        <v>67</v>
      </c>
      <c r="H32" s="13"/>
      <c r="I32" s="13" t="s">
        <v>386</v>
      </c>
      <c r="J32" s="13" t="s">
        <v>387</v>
      </c>
      <c r="K32" s="13" t="s">
        <v>310</v>
      </c>
      <c r="L32" s="13"/>
      <c r="M32" s="72">
        <v>29505000000</v>
      </c>
      <c r="N32" s="13" t="s">
        <v>382</v>
      </c>
      <c r="O32" s="13">
        <v>2</v>
      </c>
      <c r="P32" s="13"/>
      <c r="Q32" s="73" t="s">
        <v>388</v>
      </c>
    </row>
    <row r="33" spans="1:17" x14ac:dyDescent="0.3">
      <c r="A33" s="13" t="s">
        <v>191</v>
      </c>
      <c r="B33" s="13" t="s">
        <v>66</v>
      </c>
      <c r="C33" s="13">
        <v>2022</v>
      </c>
      <c r="D33" s="13"/>
      <c r="E33" s="13" t="s">
        <v>395</v>
      </c>
      <c r="F33" s="72">
        <v>32696000000</v>
      </c>
      <c r="G33" s="13" t="s">
        <v>67</v>
      </c>
      <c r="H33" s="13"/>
      <c r="I33" s="13" t="s">
        <v>391</v>
      </c>
      <c r="J33" s="13" t="s">
        <v>392</v>
      </c>
      <c r="K33" s="13" t="s">
        <v>310</v>
      </c>
      <c r="L33" s="13"/>
      <c r="M33" s="72">
        <v>32696000000</v>
      </c>
      <c r="N33" s="13" t="s">
        <v>387</v>
      </c>
      <c r="O33" s="13">
        <v>2</v>
      </c>
      <c r="P33" s="13"/>
      <c r="Q33" s="73" t="s">
        <v>393</v>
      </c>
    </row>
    <row r="34" spans="1:17" x14ac:dyDescent="0.3">
      <c r="A34" s="13" t="s">
        <v>191</v>
      </c>
      <c r="B34" s="13" t="s">
        <v>66</v>
      </c>
      <c r="C34" s="13">
        <v>2023</v>
      </c>
      <c r="D34" s="13"/>
      <c r="E34" s="13" t="s">
        <v>400</v>
      </c>
      <c r="F34" s="72">
        <v>35879000000</v>
      </c>
      <c r="G34" s="13" t="s">
        <v>67</v>
      </c>
      <c r="H34" s="13"/>
      <c r="I34" s="13" t="s">
        <v>396</v>
      </c>
      <c r="J34" s="13" t="s">
        <v>397</v>
      </c>
      <c r="K34" s="13" t="s">
        <v>310</v>
      </c>
      <c r="L34" s="13"/>
      <c r="M34" s="72">
        <v>35879000000</v>
      </c>
      <c r="N34" s="13" t="s">
        <v>392</v>
      </c>
      <c r="O34" s="13">
        <v>2</v>
      </c>
      <c r="P34" s="13"/>
      <c r="Q34" s="73" t="s">
        <v>398</v>
      </c>
    </row>
    <row r="35" spans="1:17" x14ac:dyDescent="0.3">
      <c r="A35" s="13" t="s">
        <v>191</v>
      </c>
      <c r="B35" s="13" t="s">
        <v>66</v>
      </c>
      <c r="C35" s="13">
        <v>2024</v>
      </c>
      <c r="D35" s="13"/>
      <c r="E35" s="13" t="s">
        <v>403</v>
      </c>
      <c r="F35" s="72">
        <v>34246000000</v>
      </c>
      <c r="G35" s="13" t="s">
        <v>67</v>
      </c>
      <c r="H35" s="13"/>
      <c r="I35" s="13" t="s">
        <v>180</v>
      </c>
      <c r="J35" s="13" t="s">
        <v>181</v>
      </c>
      <c r="K35" s="13" t="s">
        <v>310</v>
      </c>
      <c r="L35" s="13"/>
      <c r="M35" s="72">
        <v>34246000000</v>
      </c>
      <c r="N35" s="13" t="s">
        <v>397</v>
      </c>
      <c r="O35" s="13">
        <v>2</v>
      </c>
      <c r="P35" s="13"/>
      <c r="Q35" s="73" t="s">
        <v>401</v>
      </c>
    </row>
    <row r="36" spans="1:17" x14ac:dyDescent="0.3">
      <c r="A36" s="13" t="s">
        <v>191</v>
      </c>
      <c r="B36" s="13" t="s">
        <v>66</v>
      </c>
      <c r="C36" s="13">
        <v>2025</v>
      </c>
      <c r="D36" s="13"/>
      <c r="E36" s="13" t="s">
        <v>405</v>
      </c>
      <c r="F36" s="72">
        <v>38380000000</v>
      </c>
      <c r="G36" s="13" t="s">
        <v>67</v>
      </c>
      <c r="H36" s="13"/>
      <c r="I36" s="13" t="s">
        <v>180</v>
      </c>
      <c r="J36" s="13" t="s">
        <v>181</v>
      </c>
      <c r="K36" s="13" t="s">
        <v>310</v>
      </c>
      <c r="L36" s="13"/>
      <c r="M36" s="72">
        <v>38380000000</v>
      </c>
      <c r="N36" s="13" t="s">
        <v>181</v>
      </c>
      <c r="O36" s="13">
        <v>1</v>
      </c>
      <c r="P36" s="13"/>
      <c r="Q36" s="73" t="s">
        <v>401</v>
      </c>
    </row>
    <row r="37" spans="1:17" x14ac:dyDescent="0.3">
      <c r="A37" s="13" t="s">
        <v>191</v>
      </c>
      <c r="B37" s="13" t="s">
        <v>68</v>
      </c>
      <c r="C37" s="13">
        <v>2015</v>
      </c>
      <c r="D37" s="13"/>
      <c r="E37" s="13" t="s">
        <v>360</v>
      </c>
      <c r="F37" s="72">
        <v>16539000000</v>
      </c>
      <c r="G37" s="13" t="s">
        <v>69</v>
      </c>
      <c r="H37" s="13"/>
      <c r="I37" s="13" t="s">
        <v>406</v>
      </c>
      <c r="J37" s="13" t="s">
        <v>407</v>
      </c>
      <c r="K37" s="13" t="s">
        <v>310</v>
      </c>
      <c r="L37" s="13" t="s">
        <v>408</v>
      </c>
      <c r="M37" s="72">
        <v>16540000000</v>
      </c>
      <c r="N37" s="13" t="s">
        <v>364</v>
      </c>
      <c r="O37" s="13">
        <v>2</v>
      </c>
      <c r="P37" s="13"/>
      <c r="Q37" s="73" t="s">
        <v>409</v>
      </c>
    </row>
    <row r="38" spans="1:17" x14ac:dyDescent="0.3">
      <c r="A38" s="13" t="s">
        <v>191</v>
      </c>
      <c r="B38" s="13" t="s">
        <v>68</v>
      </c>
      <c r="C38" s="13">
        <v>2016</v>
      </c>
      <c r="D38" s="13"/>
      <c r="E38" s="13" t="s">
        <v>367</v>
      </c>
      <c r="F38" s="72">
        <v>15575000000</v>
      </c>
      <c r="G38" s="13" t="s">
        <v>69</v>
      </c>
      <c r="H38" s="13"/>
      <c r="I38" s="13" t="s">
        <v>362</v>
      </c>
      <c r="J38" s="13" t="s">
        <v>363</v>
      </c>
      <c r="K38" s="13" t="s">
        <v>310</v>
      </c>
      <c r="L38" s="13"/>
      <c r="M38" s="72">
        <v>15575000000</v>
      </c>
      <c r="N38" s="13" t="s">
        <v>407</v>
      </c>
      <c r="O38" s="13">
        <v>2</v>
      </c>
      <c r="P38" s="13"/>
      <c r="Q38" s="73" t="s">
        <v>365</v>
      </c>
    </row>
    <row r="39" spans="1:17" x14ac:dyDescent="0.3">
      <c r="A39" s="13" t="s">
        <v>191</v>
      </c>
      <c r="B39" s="13" t="s">
        <v>68</v>
      </c>
      <c r="C39" s="13">
        <v>2017</v>
      </c>
      <c r="D39" s="13"/>
      <c r="E39" s="13" t="s">
        <v>373</v>
      </c>
      <c r="F39" s="72">
        <v>17495000000</v>
      </c>
      <c r="G39" s="13" t="s">
        <v>69</v>
      </c>
      <c r="H39" s="13"/>
      <c r="I39" s="13" t="s">
        <v>369</v>
      </c>
      <c r="J39" s="13" t="s">
        <v>370</v>
      </c>
      <c r="K39" s="13" t="s">
        <v>310</v>
      </c>
      <c r="L39" s="13"/>
      <c r="M39" s="72">
        <v>17495000000</v>
      </c>
      <c r="N39" s="13" t="s">
        <v>363</v>
      </c>
      <c r="O39" s="13">
        <v>2</v>
      </c>
      <c r="P39" s="13"/>
      <c r="Q39" s="73" t="s">
        <v>371</v>
      </c>
    </row>
    <row r="40" spans="1:17" x14ac:dyDescent="0.3">
      <c r="A40" s="13" t="s">
        <v>191</v>
      </c>
      <c r="B40" s="13" t="s">
        <v>68</v>
      </c>
      <c r="C40" s="13">
        <v>2018</v>
      </c>
      <c r="D40" s="13"/>
      <c r="E40" s="13" t="s">
        <v>375</v>
      </c>
      <c r="F40" s="72">
        <v>19926000000</v>
      </c>
      <c r="G40" s="13" t="s">
        <v>69</v>
      </c>
      <c r="H40" s="13"/>
      <c r="I40" s="13" t="s">
        <v>369</v>
      </c>
      <c r="J40" s="13" t="s">
        <v>370</v>
      </c>
      <c r="K40" s="13" t="s">
        <v>310</v>
      </c>
      <c r="L40" s="13"/>
      <c r="M40" s="72">
        <v>19926000000</v>
      </c>
      <c r="N40" s="13" t="s">
        <v>370</v>
      </c>
      <c r="O40" s="13">
        <v>1</v>
      </c>
      <c r="P40" s="13"/>
      <c r="Q40" s="73" t="s">
        <v>371</v>
      </c>
    </row>
    <row r="41" spans="1:17" x14ac:dyDescent="0.3">
      <c r="A41" s="13" t="s">
        <v>191</v>
      </c>
      <c r="B41" s="13" t="s">
        <v>68</v>
      </c>
      <c r="C41" s="13">
        <v>2019</v>
      </c>
      <c r="D41" s="13"/>
      <c r="E41" s="13" t="s">
        <v>380</v>
      </c>
      <c r="F41" s="72">
        <v>23237000000</v>
      </c>
      <c r="G41" s="13" t="s">
        <v>69</v>
      </c>
      <c r="H41" s="13"/>
      <c r="I41" s="13" t="s">
        <v>376</v>
      </c>
      <c r="J41" s="13" t="s">
        <v>377</v>
      </c>
      <c r="K41" s="13" t="s">
        <v>310</v>
      </c>
      <c r="L41" s="13"/>
      <c r="M41" s="72">
        <v>23237000000</v>
      </c>
      <c r="N41" s="13" t="s">
        <v>377</v>
      </c>
      <c r="O41" s="13">
        <v>1</v>
      </c>
      <c r="P41" s="13"/>
      <c r="Q41" s="73" t="s">
        <v>378</v>
      </c>
    </row>
    <row r="42" spans="1:17" x14ac:dyDescent="0.3">
      <c r="A42" s="13" t="s">
        <v>191</v>
      </c>
      <c r="B42" s="13" t="s">
        <v>68</v>
      </c>
      <c r="C42" s="13">
        <v>2020</v>
      </c>
      <c r="D42" s="13"/>
      <c r="E42" s="13" t="s">
        <v>385</v>
      </c>
      <c r="F42" s="72">
        <v>24844000000</v>
      </c>
      <c r="G42" s="13" t="s">
        <v>69</v>
      </c>
      <c r="H42" s="13"/>
      <c r="I42" s="13" t="s">
        <v>381</v>
      </c>
      <c r="J42" s="13" t="s">
        <v>382</v>
      </c>
      <c r="K42" s="13" t="s">
        <v>310</v>
      </c>
      <c r="L42" s="13"/>
      <c r="M42" s="72">
        <v>24844000000</v>
      </c>
      <c r="N42" s="13" t="s">
        <v>377</v>
      </c>
      <c r="O42" s="13">
        <v>2</v>
      </c>
      <c r="P42" s="13"/>
      <c r="Q42" s="73" t="s">
        <v>383</v>
      </c>
    </row>
    <row r="43" spans="1:17" x14ac:dyDescent="0.3">
      <c r="A43" s="13" t="s">
        <v>191</v>
      </c>
      <c r="B43" s="13" t="s">
        <v>68</v>
      </c>
      <c r="C43" s="13">
        <v>2021</v>
      </c>
      <c r="D43" s="13"/>
      <c r="E43" s="13" t="s">
        <v>390</v>
      </c>
      <c r="F43" s="72">
        <v>29441000000</v>
      </c>
      <c r="G43" s="13" t="s">
        <v>69</v>
      </c>
      <c r="H43" s="13"/>
      <c r="I43" s="13" t="s">
        <v>386</v>
      </c>
      <c r="J43" s="13" t="s">
        <v>387</v>
      </c>
      <c r="K43" s="13" t="s">
        <v>310</v>
      </c>
      <c r="L43" s="13"/>
      <c r="M43" s="72">
        <v>29441000000</v>
      </c>
      <c r="N43" s="13" t="s">
        <v>382</v>
      </c>
      <c r="O43" s="13">
        <v>2</v>
      </c>
      <c r="P43" s="13"/>
      <c r="Q43" s="73" t="s">
        <v>388</v>
      </c>
    </row>
    <row r="44" spans="1:17" x14ac:dyDescent="0.3">
      <c r="A44" s="13" t="s">
        <v>191</v>
      </c>
      <c r="B44" s="13" t="s">
        <v>68</v>
      </c>
      <c r="C44" s="13">
        <v>2022</v>
      </c>
      <c r="D44" s="13"/>
      <c r="E44" s="13" t="s">
        <v>395</v>
      </c>
      <c r="F44" s="72">
        <v>31998000000</v>
      </c>
      <c r="G44" s="13" t="s">
        <v>69</v>
      </c>
      <c r="H44" s="13"/>
      <c r="I44" s="13" t="s">
        <v>391</v>
      </c>
      <c r="J44" s="13" t="s">
        <v>392</v>
      </c>
      <c r="K44" s="13" t="s">
        <v>310</v>
      </c>
      <c r="L44" s="13"/>
      <c r="M44" s="72">
        <v>31998000000</v>
      </c>
      <c r="N44" s="13" t="s">
        <v>387</v>
      </c>
      <c r="O44" s="13">
        <v>2</v>
      </c>
      <c r="P44" s="13"/>
      <c r="Q44" s="73" t="s">
        <v>393</v>
      </c>
    </row>
    <row r="45" spans="1:17" x14ac:dyDescent="0.3">
      <c r="A45" s="13" t="s">
        <v>191</v>
      </c>
      <c r="B45" s="13" t="s">
        <v>68</v>
      </c>
      <c r="C45" s="13">
        <v>2023</v>
      </c>
      <c r="D45" s="13"/>
      <c r="E45" s="13" t="s">
        <v>400</v>
      </c>
      <c r="F45" s="72">
        <v>33583000000</v>
      </c>
      <c r="G45" s="13" t="s">
        <v>69</v>
      </c>
      <c r="H45" s="13"/>
      <c r="I45" s="13" t="s">
        <v>396</v>
      </c>
      <c r="J45" s="13" t="s">
        <v>397</v>
      </c>
      <c r="K45" s="13" t="s">
        <v>310</v>
      </c>
      <c r="L45" s="13"/>
      <c r="M45" s="72">
        <v>33583000000</v>
      </c>
      <c r="N45" s="13" t="s">
        <v>392</v>
      </c>
      <c r="O45" s="13">
        <v>2</v>
      </c>
      <c r="P45" s="13"/>
      <c r="Q45" s="73" t="s">
        <v>398</v>
      </c>
    </row>
    <row r="46" spans="1:17" x14ac:dyDescent="0.3">
      <c r="A46" s="13" t="s">
        <v>191</v>
      </c>
      <c r="B46" s="13" t="s">
        <v>68</v>
      </c>
      <c r="C46" s="13">
        <v>2024</v>
      </c>
      <c r="D46" s="13"/>
      <c r="E46" s="13" t="s">
        <v>403</v>
      </c>
      <c r="F46" s="72">
        <v>35464000000</v>
      </c>
      <c r="G46" s="13" t="s">
        <v>69</v>
      </c>
      <c r="H46" s="13"/>
      <c r="I46" s="13" t="s">
        <v>180</v>
      </c>
      <c r="J46" s="13" t="s">
        <v>181</v>
      </c>
      <c r="K46" s="13" t="s">
        <v>310</v>
      </c>
      <c r="L46" s="13"/>
      <c r="M46" s="72">
        <v>35464000000</v>
      </c>
      <c r="N46" s="13" t="s">
        <v>397</v>
      </c>
      <c r="O46" s="13">
        <v>2</v>
      </c>
      <c r="P46" s="13"/>
      <c r="Q46" s="73" t="s">
        <v>401</v>
      </c>
    </row>
    <row r="47" spans="1:17" x14ac:dyDescent="0.3">
      <c r="A47" s="13" t="s">
        <v>191</v>
      </c>
      <c r="B47" s="13" t="s">
        <v>68</v>
      </c>
      <c r="C47" s="13">
        <v>2025</v>
      </c>
      <c r="D47" s="13"/>
      <c r="E47" s="13" t="s">
        <v>405</v>
      </c>
      <c r="F47" s="72">
        <v>37108000000</v>
      </c>
      <c r="G47" s="13" t="s">
        <v>69</v>
      </c>
      <c r="H47" s="13"/>
      <c r="I47" s="13" t="s">
        <v>180</v>
      </c>
      <c r="J47" s="13" t="s">
        <v>181</v>
      </c>
      <c r="K47" s="13" t="s">
        <v>310</v>
      </c>
      <c r="L47" s="13"/>
      <c r="M47" s="72">
        <v>37108000000</v>
      </c>
      <c r="N47" s="13" t="s">
        <v>181</v>
      </c>
      <c r="O47" s="13">
        <v>1</v>
      </c>
      <c r="P47" s="13"/>
      <c r="Q47" s="73" t="s">
        <v>401</v>
      </c>
    </row>
    <row r="48" spans="1:17" x14ac:dyDescent="0.3">
      <c r="A48" s="13" t="s">
        <v>191</v>
      </c>
      <c r="B48" s="13" t="s">
        <v>410</v>
      </c>
      <c r="C48" s="13">
        <v>2015</v>
      </c>
      <c r="D48" s="13"/>
      <c r="E48" s="13" t="s">
        <v>360</v>
      </c>
      <c r="F48" s="72">
        <v>10617000000</v>
      </c>
      <c r="G48" s="13" t="s">
        <v>148</v>
      </c>
      <c r="H48" s="13"/>
      <c r="I48" s="13" t="s">
        <v>406</v>
      </c>
      <c r="J48" s="13" t="s">
        <v>407</v>
      </c>
      <c r="K48" s="13" t="s">
        <v>310</v>
      </c>
      <c r="L48" s="13"/>
      <c r="M48" s="72">
        <v>10617000000</v>
      </c>
      <c r="N48" s="13" t="s">
        <v>364</v>
      </c>
      <c r="O48" s="13">
        <v>2</v>
      </c>
      <c r="P48" s="13"/>
      <c r="Q48" s="73" t="s">
        <v>409</v>
      </c>
    </row>
    <row r="49" spans="1:17" x14ac:dyDescent="0.3">
      <c r="A49" s="13" t="s">
        <v>191</v>
      </c>
      <c r="B49" s="13" t="s">
        <v>410</v>
      </c>
      <c r="C49" s="13">
        <v>2016</v>
      </c>
      <c r="D49" s="13"/>
      <c r="E49" s="13" t="s">
        <v>367</v>
      </c>
      <c r="F49" s="72">
        <v>12079000000</v>
      </c>
      <c r="G49" s="13" t="s">
        <v>148</v>
      </c>
      <c r="H49" s="13"/>
      <c r="I49" s="13" t="s">
        <v>362</v>
      </c>
      <c r="J49" s="13" t="s">
        <v>363</v>
      </c>
      <c r="K49" s="13" t="s">
        <v>310</v>
      </c>
      <c r="L49" s="13"/>
      <c r="M49" s="72">
        <v>12079000000</v>
      </c>
      <c r="N49" s="13" t="s">
        <v>407</v>
      </c>
      <c r="O49" s="13">
        <v>2</v>
      </c>
      <c r="P49" s="13"/>
      <c r="Q49" s="73" t="s">
        <v>365</v>
      </c>
    </row>
    <row r="50" spans="1:17" x14ac:dyDescent="0.3">
      <c r="A50" s="13" t="s">
        <v>191</v>
      </c>
      <c r="B50" s="13" t="s">
        <v>410</v>
      </c>
      <c r="C50" s="13">
        <v>2017</v>
      </c>
      <c r="D50" s="13"/>
      <c r="E50" s="13" t="s">
        <v>373</v>
      </c>
      <c r="F50" s="72">
        <v>10778000000</v>
      </c>
      <c r="G50" s="13" t="s">
        <v>148</v>
      </c>
      <c r="H50" s="13"/>
      <c r="I50" s="13" t="s">
        <v>369</v>
      </c>
      <c r="J50" s="13" t="s">
        <v>370</v>
      </c>
      <c r="K50" s="13" t="s">
        <v>310</v>
      </c>
      <c r="L50" s="13"/>
      <c r="M50" s="72">
        <v>10778000000</v>
      </c>
      <c r="N50" s="13" t="s">
        <v>363</v>
      </c>
      <c r="O50" s="13">
        <v>2</v>
      </c>
      <c r="P50" s="13"/>
      <c r="Q50" s="73" t="s">
        <v>371</v>
      </c>
    </row>
    <row r="51" spans="1:17" x14ac:dyDescent="0.3">
      <c r="A51" s="13" t="s">
        <v>191</v>
      </c>
      <c r="B51" s="13" t="s">
        <v>410</v>
      </c>
      <c r="C51" s="13">
        <v>2018</v>
      </c>
      <c r="D51" s="13"/>
      <c r="E51" s="13" t="s">
        <v>375</v>
      </c>
      <c r="F51" s="72">
        <v>12799000000</v>
      </c>
      <c r="G51" s="13" t="s">
        <v>148</v>
      </c>
      <c r="H51" s="13"/>
      <c r="I51" s="13" t="s">
        <v>369</v>
      </c>
      <c r="J51" s="13" t="s">
        <v>370</v>
      </c>
      <c r="K51" s="13" t="s">
        <v>310</v>
      </c>
      <c r="L51" s="13"/>
      <c r="M51" s="72">
        <v>12799000000</v>
      </c>
      <c r="N51" s="13" t="s">
        <v>370</v>
      </c>
      <c r="O51" s="13">
        <v>1</v>
      </c>
      <c r="P51" s="13"/>
      <c r="Q51" s="73" t="s">
        <v>371</v>
      </c>
    </row>
    <row r="52" spans="1:17" x14ac:dyDescent="0.3">
      <c r="A52" s="13" t="s">
        <v>191</v>
      </c>
      <c r="B52" s="13" t="s">
        <v>410</v>
      </c>
      <c r="C52" s="13">
        <v>2019</v>
      </c>
      <c r="D52" s="13"/>
      <c r="E52" s="13" t="s">
        <v>380</v>
      </c>
      <c r="F52" s="72">
        <v>15243000000</v>
      </c>
      <c r="G52" s="13" t="s">
        <v>148</v>
      </c>
      <c r="H52" s="13"/>
      <c r="I52" s="13" t="s">
        <v>376</v>
      </c>
      <c r="J52" s="13" t="s">
        <v>377</v>
      </c>
      <c r="K52" s="13" t="s">
        <v>310</v>
      </c>
      <c r="L52" s="13"/>
      <c r="M52" s="72">
        <v>15243000000</v>
      </c>
      <c r="N52" s="13" t="s">
        <v>377</v>
      </c>
      <c r="O52" s="13">
        <v>1</v>
      </c>
      <c r="P52" s="13"/>
      <c r="Q52" s="73" t="s">
        <v>378</v>
      </c>
    </row>
    <row r="53" spans="1:17" x14ac:dyDescent="0.3">
      <c r="A53" s="13" t="s">
        <v>191</v>
      </c>
      <c r="B53" s="13" t="s">
        <v>410</v>
      </c>
      <c r="C53" s="13">
        <v>2020</v>
      </c>
      <c r="D53" s="13"/>
      <c r="E53" s="13" t="s">
        <v>385</v>
      </c>
      <c r="F53" s="72">
        <v>18284000000</v>
      </c>
      <c r="G53" s="13" t="s">
        <v>148</v>
      </c>
      <c r="H53" s="13"/>
      <c r="I53" s="13" t="s">
        <v>381</v>
      </c>
      <c r="J53" s="13" t="s">
        <v>382</v>
      </c>
      <c r="K53" s="13" t="s">
        <v>310</v>
      </c>
      <c r="L53" s="13"/>
      <c r="M53" s="72">
        <v>18284000000</v>
      </c>
      <c r="N53" s="13" t="s">
        <v>377</v>
      </c>
      <c r="O53" s="13">
        <v>2</v>
      </c>
      <c r="P53" s="13"/>
      <c r="Q53" s="73" t="s">
        <v>383</v>
      </c>
    </row>
    <row r="54" spans="1:17" x14ac:dyDescent="0.3">
      <c r="A54" s="13" t="s">
        <v>191</v>
      </c>
      <c r="B54" s="13" t="s">
        <v>410</v>
      </c>
      <c r="C54" s="13">
        <v>2021</v>
      </c>
      <c r="D54" s="13"/>
      <c r="E54" s="13" t="s">
        <v>390</v>
      </c>
      <c r="F54" s="72">
        <v>17564000000</v>
      </c>
      <c r="G54" s="13" t="s">
        <v>148</v>
      </c>
      <c r="H54" s="13"/>
      <c r="I54" s="13" t="s">
        <v>386</v>
      </c>
      <c r="J54" s="13" t="s">
        <v>387</v>
      </c>
      <c r="K54" s="13" t="s">
        <v>310</v>
      </c>
      <c r="L54" s="13"/>
      <c r="M54" s="72">
        <v>17564000000</v>
      </c>
      <c r="N54" s="13" t="s">
        <v>382</v>
      </c>
      <c r="O54" s="13">
        <v>2</v>
      </c>
      <c r="P54" s="13"/>
      <c r="Q54" s="73" t="s">
        <v>388</v>
      </c>
    </row>
    <row r="55" spans="1:17" x14ac:dyDescent="0.3">
      <c r="A55" s="13" t="s">
        <v>191</v>
      </c>
      <c r="B55" s="13" t="s">
        <v>410</v>
      </c>
      <c r="C55" s="13">
        <v>2022</v>
      </c>
      <c r="D55" s="13"/>
      <c r="E55" s="13" t="s">
        <v>395</v>
      </c>
      <c r="F55" s="72">
        <v>20642000000</v>
      </c>
      <c r="G55" s="13" t="s">
        <v>148</v>
      </c>
      <c r="H55" s="13"/>
      <c r="I55" s="13" t="s">
        <v>391</v>
      </c>
      <c r="J55" s="13" t="s">
        <v>392</v>
      </c>
      <c r="K55" s="13" t="s">
        <v>310</v>
      </c>
      <c r="L55" s="13"/>
      <c r="M55" s="72">
        <v>20642000000</v>
      </c>
      <c r="N55" s="13" t="s">
        <v>387</v>
      </c>
      <c r="O55" s="13">
        <v>2</v>
      </c>
      <c r="P55" s="13"/>
      <c r="Q55" s="73" t="s">
        <v>393</v>
      </c>
    </row>
    <row r="56" spans="1:17" x14ac:dyDescent="0.3">
      <c r="A56" s="13" t="s">
        <v>191</v>
      </c>
      <c r="B56" s="13" t="s">
        <v>410</v>
      </c>
      <c r="C56" s="13">
        <v>2023</v>
      </c>
      <c r="D56" s="13"/>
      <c r="E56" s="13" t="s">
        <v>400</v>
      </c>
      <c r="F56" s="72">
        <v>25058000000</v>
      </c>
      <c r="G56" s="13" t="s">
        <v>148</v>
      </c>
      <c r="H56" s="13"/>
      <c r="I56" s="13" t="s">
        <v>396</v>
      </c>
      <c r="J56" s="13" t="s">
        <v>397</v>
      </c>
      <c r="K56" s="13" t="s">
        <v>310</v>
      </c>
      <c r="L56" s="13"/>
      <c r="M56" s="72">
        <v>25058000000</v>
      </c>
      <c r="N56" s="13" t="s">
        <v>392</v>
      </c>
      <c r="O56" s="13">
        <v>2</v>
      </c>
      <c r="P56" s="13"/>
      <c r="Q56" s="73" t="s">
        <v>398</v>
      </c>
    </row>
    <row r="57" spans="1:17" x14ac:dyDescent="0.3">
      <c r="A57" s="13" t="s">
        <v>191</v>
      </c>
      <c r="B57" s="13" t="s">
        <v>410</v>
      </c>
      <c r="C57" s="13">
        <v>2024</v>
      </c>
      <c r="D57" s="13"/>
      <c r="E57" s="13" t="s">
        <v>403</v>
      </c>
      <c r="F57" s="72">
        <v>23622000000</v>
      </c>
      <c r="G57" s="13" t="s">
        <v>148</v>
      </c>
      <c r="H57" s="13"/>
      <c r="I57" s="13" t="s">
        <v>180</v>
      </c>
      <c r="J57" s="13" t="s">
        <v>181</v>
      </c>
      <c r="K57" s="13" t="s">
        <v>310</v>
      </c>
      <c r="L57" s="13"/>
      <c r="M57" s="72">
        <v>23622000000</v>
      </c>
      <c r="N57" s="13" t="s">
        <v>397</v>
      </c>
      <c r="O57" s="13">
        <v>2</v>
      </c>
      <c r="P57" s="13"/>
      <c r="Q57" s="73" t="s">
        <v>401</v>
      </c>
    </row>
    <row r="58" spans="1:17" x14ac:dyDescent="0.3">
      <c r="A58" s="13" t="s">
        <v>191</v>
      </c>
      <c r="B58" s="13" t="s">
        <v>410</v>
      </c>
      <c r="C58" s="13">
        <v>2025</v>
      </c>
      <c r="D58" s="13"/>
      <c r="E58" s="13" t="s">
        <v>405</v>
      </c>
      <c r="F58" s="72">
        <v>29164000000</v>
      </c>
      <c r="G58" s="13" t="s">
        <v>148</v>
      </c>
      <c r="H58" s="13"/>
      <c r="I58" s="13" t="s">
        <v>180</v>
      </c>
      <c r="J58" s="13" t="s">
        <v>181</v>
      </c>
      <c r="K58" s="13" t="s">
        <v>310</v>
      </c>
      <c r="L58" s="13"/>
      <c r="M58" s="72">
        <v>29164000000</v>
      </c>
      <c r="N58" s="13" t="s">
        <v>181</v>
      </c>
      <c r="O58" s="13">
        <v>1</v>
      </c>
      <c r="P58" s="13"/>
      <c r="Q58" s="73" t="s">
        <v>401</v>
      </c>
    </row>
    <row r="59" spans="1:17" x14ac:dyDescent="0.3">
      <c r="A59" s="13" t="s">
        <v>191</v>
      </c>
      <c r="B59" s="13" t="s">
        <v>411</v>
      </c>
      <c r="C59" s="13">
        <v>2015</v>
      </c>
      <c r="D59" s="13"/>
      <c r="E59" s="13" t="s">
        <v>360</v>
      </c>
      <c r="F59" s="72">
        <v>10000000</v>
      </c>
      <c r="G59" s="13" t="s">
        <v>150</v>
      </c>
      <c r="H59" s="13"/>
      <c r="I59" s="13" t="s">
        <v>412</v>
      </c>
      <c r="J59" s="13" t="s">
        <v>364</v>
      </c>
      <c r="K59" s="13" t="s">
        <v>310</v>
      </c>
      <c r="L59" s="13"/>
      <c r="M59" s="72">
        <v>10000000</v>
      </c>
      <c r="N59" s="13" t="s">
        <v>364</v>
      </c>
      <c r="O59" s="13">
        <v>1</v>
      </c>
      <c r="P59" s="13"/>
      <c r="Q59" s="73" t="s">
        <v>413</v>
      </c>
    </row>
    <row r="60" spans="1:17" x14ac:dyDescent="0.3">
      <c r="A60" s="13" t="s">
        <v>191</v>
      </c>
      <c r="B60" s="13" t="s">
        <v>411</v>
      </c>
      <c r="C60" s="13">
        <v>2016</v>
      </c>
      <c r="D60" s="13"/>
      <c r="E60" s="13" t="s">
        <v>367</v>
      </c>
      <c r="F60" s="72">
        <v>10000000</v>
      </c>
      <c r="G60" s="13" t="s">
        <v>150</v>
      </c>
      <c r="H60" s="13"/>
      <c r="I60" s="13" t="s">
        <v>406</v>
      </c>
      <c r="J60" s="13" t="s">
        <v>407</v>
      </c>
      <c r="K60" s="13" t="s">
        <v>310</v>
      </c>
      <c r="L60" s="13"/>
      <c r="M60" s="72">
        <v>10000000</v>
      </c>
      <c r="N60" s="13" t="s">
        <v>407</v>
      </c>
      <c r="O60" s="13">
        <v>1</v>
      </c>
      <c r="P60" s="13"/>
      <c r="Q60" s="73" t="s">
        <v>409</v>
      </c>
    </row>
    <row r="61" spans="1:17" x14ac:dyDescent="0.3">
      <c r="A61" s="13" t="s">
        <v>191</v>
      </c>
      <c r="B61" s="13" t="s">
        <v>411</v>
      </c>
      <c r="C61" s="13">
        <v>2017</v>
      </c>
      <c r="D61" s="13"/>
      <c r="E61" s="13" t="s">
        <v>373</v>
      </c>
      <c r="F61" s="72">
        <v>7000000</v>
      </c>
      <c r="G61" s="13" t="s">
        <v>150</v>
      </c>
      <c r="H61" s="13"/>
      <c r="I61" s="13" t="s">
        <v>362</v>
      </c>
      <c r="J61" s="13" t="s">
        <v>363</v>
      </c>
      <c r="K61" s="13" t="s">
        <v>310</v>
      </c>
      <c r="L61" s="13"/>
      <c r="M61" s="72">
        <v>7000000</v>
      </c>
      <c r="N61" s="13" t="s">
        <v>363</v>
      </c>
      <c r="O61" s="13">
        <v>1</v>
      </c>
      <c r="P61" s="13"/>
      <c r="Q61" s="73" t="s">
        <v>365</v>
      </c>
    </row>
    <row r="62" spans="1:17" x14ac:dyDescent="0.3">
      <c r="A62" s="13" t="s">
        <v>191</v>
      </c>
      <c r="B62" s="13" t="s">
        <v>411</v>
      </c>
      <c r="C62" s="13">
        <v>2018</v>
      </c>
      <c r="D62" s="13"/>
      <c r="E62" s="13" t="s">
        <v>375</v>
      </c>
      <c r="F62" s="72">
        <v>7000000</v>
      </c>
      <c r="G62" s="13" t="s">
        <v>150</v>
      </c>
      <c r="H62" s="13"/>
      <c r="I62" s="13" t="s">
        <v>369</v>
      </c>
      <c r="J62" s="13" t="s">
        <v>370</v>
      </c>
      <c r="K62" s="13" t="s">
        <v>310</v>
      </c>
      <c r="L62" s="13"/>
      <c r="M62" s="72">
        <v>7000000</v>
      </c>
      <c r="N62" s="13" t="s">
        <v>370</v>
      </c>
      <c r="O62" s="13">
        <v>1</v>
      </c>
      <c r="P62" s="13"/>
      <c r="Q62" s="73" t="s">
        <v>371</v>
      </c>
    </row>
    <row r="63" spans="1:17" x14ac:dyDescent="0.3">
      <c r="A63" s="74" t="s">
        <v>191</v>
      </c>
      <c r="B63" s="74" t="s">
        <v>411</v>
      </c>
      <c r="C63" s="74">
        <v>2019</v>
      </c>
      <c r="D63" s="74"/>
      <c r="E63" s="74" t="s">
        <v>380</v>
      </c>
      <c r="F63" s="75">
        <v>26000000</v>
      </c>
      <c r="G63" s="74" t="s">
        <v>150</v>
      </c>
      <c r="H63" s="74"/>
      <c r="I63" s="74" t="s">
        <v>414</v>
      </c>
      <c r="J63" s="74" t="s">
        <v>415</v>
      </c>
      <c r="K63" s="74" t="s">
        <v>416</v>
      </c>
      <c r="L63" s="74" t="s">
        <v>408</v>
      </c>
      <c r="M63" s="74"/>
      <c r="N63" s="74"/>
      <c r="O63" s="74"/>
      <c r="P63" s="74" t="s">
        <v>417</v>
      </c>
      <c r="Q63" s="76" t="s">
        <v>418</v>
      </c>
    </row>
    <row r="64" spans="1:17" x14ac:dyDescent="0.3">
      <c r="A64" s="13" t="s">
        <v>191</v>
      </c>
      <c r="B64" s="13" t="s">
        <v>411</v>
      </c>
      <c r="C64" s="13">
        <v>2020</v>
      </c>
      <c r="D64" s="13"/>
      <c r="E64" s="13" t="s">
        <v>385</v>
      </c>
      <c r="F64" s="72">
        <v>31000000</v>
      </c>
      <c r="G64" s="13" t="s">
        <v>122</v>
      </c>
      <c r="H64" s="13"/>
      <c r="I64" s="13" t="s">
        <v>376</v>
      </c>
      <c r="J64" s="13" t="s">
        <v>377</v>
      </c>
      <c r="K64" s="13" t="s">
        <v>310</v>
      </c>
      <c r="L64" s="13"/>
      <c r="M64" s="72">
        <v>31000000</v>
      </c>
      <c r="N64" s="13" t="s">
        <v>377</v>
      </c>
      <c r="O64" s="13">
        <v>1</v>
      </c>
      <c r="P64" s="13"/>
      <c r="Q64" s="73" t="s">
        <v>378</v>
      </c>
    </row>
    <row r="65" spans="1:17" x14ac:dyDescent="0.3">
      <c r="A65" s="13" t="s">
        <v>191</v>
      </c>
      <c r="B65" s="13" t="s">
        <v>411</v>
      </c>
      <c r="C65" s="13">
        <v>2024</v>
      </c>
      <c r="D65" s="13"/>
      <c r="E65" s="13" t="s">
        <v>403</v>
      </c>
      <c r="F65" s="72">
        <v>147000000</v>
      </c>
      <c r="G65" s="13" t="s">
        <v>122</v>
      </c>
      <c r="H65" s="13"/>
      <c r="I65" s="13" t="s">
        <v>180</v>
      </c>
      <c r="J65" s="13" t="s">
        <v>181</v>
      </c>
      <c r="K65" s="13" t="s">
        <v>310</v>
      </c>
      <c r="L65" s="13"/>
      <c r="M65" s="72">
        <v>147000000</v>
      </c>
      <c r="N65" s="13" t="s">
        <v>181</v>
      </c>
      <c r="O65" s="13">
        <v>1</v>
      </c>
      <c r="P65" s="13"/>
      <c r="Q65" s="73" t="s">
        <v>401</v>
      </c>
    </row>
    <row r="66" spans="1:17" x14ac:dyDescent="0.3">
      <c r="A66" s="13" t="s">
        <v>191</v>
      </c>
      <c r="B66" s="13" t="s">
        <v>411</v>
      </c>
      <c r="C66" s="13">
        <v>2025</v>
      </c>
      <c r="D66" s="13"/>
      <c r="E66" s="13" t="s">
        <v>405</v>
      </c>
      <c r="F66" s="72">
        <v>78000000</v>
      </c>
      <c r="G66" s="13" t="s">
        <v>122</v>
      </c>
      <c r="H66" s="13"/>
      <c r="I66" s="13" t="s">
        <v>180</v>
      </c>
      <c r="J66" s="13" t="s">
        <v>181</v>
      </c>
      <c r="K66" s="13" t="s">
        <v>310</v>
      </c>
      <c r="L66" s="13"/>
      <c r="M66" s="72">
        <v>78000000</v>
      </c>
      <c r="N66" s="13" t="s">
        <v>181</v>
      </c>
      <c r="O66" s="13">
        <v>1</v>
      </c>
      <c r="P66" s="13"/>
      <c r="Q66" s="73" t="s">
        <v>401</v>
      </c>
    </row>
    <row r="67" spans="1:17" x14ac:dyDescent="0.3">
      <c r="A67" s="13" t="s">
        <v>191</v>
      </c>
      <c r="B67" s="13" t="s">
        <v>419</v>
      </c>
      <c r="C67" s="13">
        <v>2015</v>
      </c>
      <c r="D67" s="13"/>
      <c r="E67" s="13" t="s">
        <v>360</v>
      </c>
      <c r="F67" s="72">
        <v>286000000</v>
      </c>
      <c r="G67" s="13" t="s">
        <v>151</v>
      </c>
      <c r="H67" s="13"/>
      <c r="I67" s="13" t="s">
        <v>412</v>
      </c>
      <c r="J67" s="13" t="s">
        <v>364</v>
      </c>
      <c r="K67" s="13" t="s">
        <v>310</v>
      </c>
      <c r="L67" s="13"/>
      <c r="M67" s="72">
        <v>286000000</v>
      </c>
      <c r="N67" s="13" t="s">
        <v>364</v>
      </c>
      <c r="O67" s="13">
        <v>1</v>
      </c>
      <c r="P67" s="13"/>
      <c r="Q67" s="73" t="s">
        <v>413</v>
      </c>
    </row>
    <row r="68" spans="1:17" x14ac:dyDescent="0.3">
      <c r="A68" s="13" t="s">
        <v>191</v>
      </c>
      <c r="B68" s="13" t="s">
        <v>419</v>
      </c>
      <c r="C68" s="13">
        <v>2016</v>
      </c>
      <c r="D68" s="13"/>
      <c r="E68" s="13" t="s">
        <v>367</v>
      </c>
      <c r="F68" s="72">
        <v>364000000</v>
      </c>
      <c r="G68" s="13" t="s">
        <v>151</v>
      </c>
      <c r="H68" s="13"/>
      <c r="I68" s="13" t="s">
        <v>406</v>
      </c>
      <c r="J68" s="13" t="s">
        <v>407</v>
      </c>
      <c r="K68" s="13" t="s">
        <v>310</v>
      </c>
      <c r="L68" s="13"/>
      <c r="M68" s="72">
        <v>364000000</v>
      </c>
      <c r="N68" s="13" t="s">
        <v>407</v>
      </c>
      <c r="O68" s="13">
        <v>1</v>
      </c>
      <c r="P68" s="13"/>
      <c r="Q68" s="73" t="s">
        <v>409</v>
      </c>
    </row>
    <row r="69" spans="1:17" x14ac:dyDescent="0.3">
      <c r="A69" s="13" t="s">
        <v>191</v>
      </c>
      <c r="B69" s="13" t="s">
        <v>419</v>
      </c>
      <c r="C69" s="13">
        <v>2017</v>
      </c>
      <c r="D69" s="13"/>
      <c r="E69" s="13" t="s">
        <v>373</v>
      </c>
      <c r="F69" s="72">
        <v>373000000</v>
      </c>
      <c r="G69" s="13" t="s">
        <v>151</v>
      </c>
      <c r="H69" s="13"/>
      <c r="I69" s="13" t="s">
        <v>362</v>
      </c>
      <c r="J69" s="13" t="s">
        <v>363</v>
      </c>
      <c r="K69" s="13" t="s">
        <v>310</v>
      </c>
      <c r="L69" s="13"/>
      <c r="M69" s="72">
        <v>373000000</v>
      </c>
      <c r="N69" s="13" t="s">
        <v>363</v>
      </c>
      <c r="O69" s="13">
        <v>1</v>
      </c>
      <c r="P69" s="13"/>
      <c r="Q69" s="73" t="s">
        <v>365</v>
      </c>
    </row>
    <row r="70" spans="1:17" x14ac:dyDescent="0.3">
      <c r="A70" s="13" t="s">
        <v>191</v>
      </c>
      <c r="B70" s="13" t="s">
        <v>419</v>
      </c>
      <c r="C70" s="13">
        <v>2018</v>
      </c>
      <c r="D70" s="13"/>
      <c r="E70" s="13" t="s">
        <v>375</v>
      </c>
      <c r="F70" s="72">
        <v>390000000</v>
      </c>
      <c r="G70" s="13" t="s">
        <v>151</v>
      </c>
      <c r="H70" s="13"/>
      <c r="I70" s="13" t="s">
        <v>369</v>
      </c>
      <c r="J70" s="13" t="s">
        <v>370</v>
      </c>
      <c r="K70" s="13" t="s">
        <v>310</v>
      </c>
      <c r="L70" s="13"/>
      <c r="M70" s="72">
        <v>390000000</v>
      </c>
      <c r="N70" s="13" t="s">
        <v>370</v>
      </c>
      <c r="O70" s="13">
        <v>1</v>
      </c>
      <c r="P70" s="13"/>
      <c r="Q70" s="73" t="s">
        <v>371</v>
      </c>
    </row>
    <row r="71" spans="1:17" x14ac:dyDescent="0.3">
      <c r="A71" s="74" t="s">
        <v>191</v>
      </c>
      <c r="B71" s="74" t="s">
        <v>419</v>
      </c>
      <c r="C71" s="74">
        <v>2019</v>
      </c>
      <c r="D71" s="74"/>
      <c r="E71" s="74" t="s">
        <v>380</v>
      </c>
      <c r="F71" s="75">
        <v>395000000</v>
      </c>
      <c r="G71" s="74" t="s">
        <v>151</v>
      </c>
      <c r="H71" s="74"/>
      <c r="I71" s="74" t="s">
        <v>414</v>
      </c>
      <c r="J71" s="74" t="s">
        <v>415</v>
      </c>
      <c r="K71" s="74" t="s">
        <v>416</v>
      </c>
      <c r="L71" s="74" t="s">
        <v>408</v>
      </c>
      <c r="M71" s="74"/>
      <c r="N71" s="74"/>
      <c r="O71" s="74"/>
      <c r="P71" s="74" t="s">
        <v>420</v>
      </c>
      <c r="Q71" s="76" t="s">
        <v>418</v>
      </c>
    </row>
    <row r="72" spans="1:17" x14ac:dyDescent="0.3">
      <c r="A72" s="13" t="s">
        <v>191</v>
      </c>
      <c r="B72" s="13" t="s">
        <v>419</v>
      </c>
      <c r="C72" s="13">
        <v>2020</v>
      </c>
      <c r="D72" s="13"/>
      <c r="E72" s="13" t="s">
        <v>385</v>
      </c>
      <c r="F72" s="72">
        <v>657000000</v>
      </c>
      <c r="G72" s="13" t="s">
        <v>123</v>
      </c>
      <c r="H72" s="13"/>
      <c r="I72" s="13" t="s">
        <v>376</v>
      </c>
      <c r="J72" s="13" t="s">
        <v>377</v>
      </c>
      <c r="K72" s="13" t="s">
        <v>310</v>
      </c>
      <c r="L72" s="13"/>
      <c r="M72" s="72">
        <v>657000000</v>
      </c>
      <c r="N72" s="13" t="s">
        <v>377</v>
      </c>
      <c r="O72" s="13">
        <v>1</v>
      </c>
      <c r="P72" s="13"/>
      <c r="Q72" s="73" t="s">
        <v>378</v>
      </c>
    </row>
    <row r="73" spans="1:17" x14ac:dyDescent="0.3">
      <c r="A73" s="13" t="s">
        <v>191</v>
      </c>
      <c r="B73" s="13" t="s">
        <v>419</v>
      </c>
      <c r="C73" s="13">
        <v>2024</v>
      </c>
      <c r="D73" s="13"/>
      <c r="E73" s="13" t="s">
        <v>403</v>
      </c>
      <c r="F73" s="72">
        <v>1351000000</v>
      </c>
      <c r="G73" s="13" t="s">
        <v>123</v>
      </c>
      <c r="H73" s="13"/>
      <c r="I73" s="13" t="s">
        <v>180</v>
      </c>
      <c r="J73" s="13" t="s">
        <v>181</v>
      </c>
      <c r="K73" s="13" t="s">
        <v>310</v>
      </c>
      <c r="L73" s="13"/>
      <c r="M73" s="72">
        <v>1351000000</v>
      </c>
      <c r="N73" s="13" t="s">
        <v>181</v>
      </c>
      <c r="O73" s="13">
        <v>1</v>
      </c>
      <c r="P73" s="13"/>
      <c r="Q73" s="73" t="s">
        <v>401</v>
      </c>
    </row>
    <row r="74" spans="1:17" x14ac:dyDescent="0.3">
      <c r="A74" s="13" t="s">
        <v>191</v>
      </c>
      <c r="B74" s="13" t="s">
        <v>419</v>
      </c>
      <c r="C74" s="13">
        <v>2025</v>
      </c>
      <c r="D74" s="13"/>
      <c r="E74" s="13" t="s">
        <v>405</v>
      </c>
      <c r="F74" s="72">
        <v>1401000000</v>
      </c>
      <c r="G74" s="13" t="s">
        <v>123</v>
      </c>
      <c r="H74" s="13"/>
      <c r="I74" s="13" t="s">
        <v>180</v>
      </c>
      <c r="J74" s="13" t="s">
        <v>181</v>
      </c>
      <c r="K74" s="13" t="s">
        <v>310</v>
      </c>
      <c r="L74" s="13"/>
      <c r="M74" s="72">
        <v>1401000000</v>
      </c>
      <c r="N74" s="13" t="s">
        <v>181</v>
      </c>
      <c r="O74" s="13">
        <v>1</v>
      </c>
      <c r="P74" s="13"/>
      <c r="Q74" s="73" t="s">
        <v>401</v>
      </c>
    </row>
    <row r="75" spans="1:17" x14ac:dyDescent="0.3">
      <c r="A75" s="13" t="s">
        <v>191</v>
      </c>
      <c r="B75" s="13" t="s">
        <v>421</v>
      </c>
      <c r="C75" s="13">
        <v>2020</v>
      </c>
      <c r="D75" s="13"/>
      <c r="E75" s="13" t="s">
        <v>385</v>
      </c>
      <c r="F75" s="72">
        <v>688000000</v>
      </c>
      <c r="G75" s="13" t="s">
        <v>124</v>
      </c>
      <c r="H75" s="13"/>
      <c r="I75" s="13" t="s">
        <v>376</v>
      </c>
      <c r="J75" s="13" t="s">
        <v>377</v>
      </c>
      <c r="K75" s="13" t="s">
        <v>310</v>
      </c>
      <c r="L75" s="13"/>
      <c r="M75" s="72">
        <v>688000000</v>
      </c>
      <c r="N75" s="13" t="s">
        <v>377</v>
      </c>
      <c r="O75" s="13">
        <v>1</v>
      </c>
      <c r="P75" s="13"/>
      <c r="Q75" s="73" t="s">
        <v>378</v>
      </c>
    </row>
    <row r="76" spans="1:17" x14ac:dyDescent="0.3">
      <c r="A76" s="13" t="s">
        <v>191</v>
      </c>
      <c r="B76" s="13" t="s">
        <v>421</v>
      </c>
      <c r="C76" s="13">
        <v>2021</v>
      </c>
      <c r="D76" s="13"/>
      <c r="E76" s="13" t="s">
        <v>390</v>
      </c>
      <c r="F76" s="72">
        <v>1052000000</v>
      </c>
      <c r="G76" s="13" t="s">
        <v>124</v>
      </c>
      <c r="H76" s="13"/>
      <c r="I76" s="13" t="s">
        <v>381</v>
      </c>
      <c r="J76" s="13" t="s">
        <v>382</v>
      </c>
      <c r="K76" s="13" t="s">
        <v>310</v>
      </c>
      <c r="L76" s="13"/>
      <c r="M76" s="72">
        <v>1052000000</v>
      </c>
      <c r="N76" s="13" t="s">
        <v>382</v>
      </c>
      <c r="O76" s="13">
        <v>1</v>
      </c>
      <c r="P76" s="13"/>
      <c r="Q76" s="73" t="s">
        <v>383</v>
      </c>
    </row>
    <row r="77" spans="1:17" x14ac:dyDescent="0.3">
      <c r="A77" s="74" t="s">
        <v>191</v>
      </c>
      <c r="B77" s="74" t="s">
        <v>421</v>
      </c>
      <c r="C77" s="74">
        <v>2022</v>
      </c>
      <c r="D77" s="74"/>
      <c r="E77" s="74" t="s">
        <v>395</v>
      </c>
      <c r="F77" s="75">
        <v>1628000000</v>
      </c>
      <c r="G77" s="74" t="s">
        <v>422</v>
      </c>
      <c r="H77" s="74"/>
      <c r="I77" s="74" t="s">
        <v>386</v>
      </c>
      <c r="J77" s="74" t="s">
        <v>387</v>
      </c>
      <c r="K77" s="74" t="s">
        <v>423</v>
      </c>
      <c r="L77" s="74" t="s">
        <v>408</v>
      </c>
      <c r="M77" s="74"/>
      <c r="N77" s="74"/>
      <c r="O77" s="74"/>
      <c r="P77" s="74" t="s">
        <v>424</v>
      </c>
      <c r="Q77" s="76" t="s">
        <v>388</v>
      </c>
    </row>
    <row r="78" spans="1:17" x14ac:dyDescent="0.3">
      <c r="A78" s="74" t="s">
        <v>191</v>
      </c>
      <c r="B78" s="74" t="s">
        <v>421</v>
      </c>
      <c r="C78" s="74">
        <v>2023</v>
      </c>
      <c r="D78" s="74"/>
      <c r="E78" s="74" t="s">
        <v>400</v>
      </c>
      <c r="F78" s="75">
        <v>1432000000</v>
      </c>
      <c r="G78" s="74" t="s">
        <v>422</v>
      </c>
      <c r="H78" s="74"/>
      <c r="I78" s="74" t="s">
        <v>391</v>
      </c>
      <c r="J78" s="74" t="s">
        <v>392</v>
      </c>
      <c r="K78" s="74" t="s">
        <v>423</v>
      </c>
      <c r="L78" s="74" t="s">
        <v>408</v>
      </c>
      <c r="M78" s="74"/>
      <c r="N78" s="74"/>
      <c r="O78" s="74"/>
      <c r="P78" s="74" t="s">
        <v>425</v>
      </c>
      <c r="Q78" s="76" t="s">
        <v>393</v>
      </c>
    </row>
    <row r="79" spans="1:17" x14ac:dyDescent="0.3">
      <c r="A79" s="13" t="s">
        <v>191</v>
      </c>
      <c r="B79" s="13" t="s">
        <v>421</v>
      </c>
      <c r="C79" s="13">
        <v>2025</v>
      </c>
      <c r="D79" s="13"/>
      <c r="E79" s="13" t="s">
        <v>405</v>
      </c>
      <c r="F79" s="72">
        <v>1479000000</v>
      </c>
      <c r="G79" s="13" t="s">
        <v>124</v>
      </c>
      <c r="H79" s="13"/>
      <c r="I79" s="13" t="s">
        <v>180</v>
      </c>
      <c r="J79" s="13" t="s">
        <v>181</v>
      </c>
      <c r="K79" s="13" t="s">
        <v>310</v>
      </c>
      <c r="L79" s="13"/>
      <c r="M79" s="72">
        <v>1479000000</v>
      </c>
      <c r="N79" s="13" t="s">
        <v>181</v>
      </c>
      <c r="O79" s="13">
        <v>1</v>
      </c>
      <c r="P79" s="13"/>
      <c r="Q79" s="73" t="s">
        <v>401</v>
      </c>
    </row>
    <row r="80" spans="1:17" x14ac:dyDescent="0.3">
      <c r="A80" s="13" t="s">
        <v>191</v>
      </c>
      <c r="B80" s="13" t="s">
        <v>426</v>
      </c>
      <c r="C80" s="13">
        <v>2015</v>
      </c>
      <c r="D80" s="13"/>
      <c r="E80" s="13" t="s">
        <v>360</v>
      </c>
      <c r="F80" s="72">
        <v>8908000000</v>
      </c>
      <c r="G80" s="13" t="s">
        <v>98</v>
      </c>
      <c r="H80" s="13"/>
      <c r="I80" s="13" t="s">
        <v>406</v>
      </c>
      <c r="J80" s="13" t="s">
        <v>407</v>
      </c>
      <c r="K80" s="13" t="s">
        <v>310</v>
      </c>
      <c r="L80" s="13"/>
      <c r="M80" s="72">
        <v>8908000000</v>
      </c>
      <c r="N80" s="13" t="s">
        <v>364</v>
      </c>
      <c r="O80" s="13">
        <v>2</v>
      </c>
      <c r="P80" s="13"/>
      <c r="Q80" s="73" t="s">
        <v>409</v>
      </c>
    </row>
    <row r="81" spans="1:17" x14ac:dyDescent="0.3">
      <c r="A81" s="13" t="s">
        <v>191</v>
      </c>
      <c r="B81" s="13" t="s">
        <v>426</v>
      </c>
      <c r="C81" s="13">
        <v>2016</v>
      </c>
      <c r="D81" s="13"/>
      <c r="E81" s="13" t="s">
        <v>367</v>
      </c>
      <c r="F81" s="72">
        <v>8969000000</v>
      </c>
      <c r="G81" s="13" t="s">
        <v>98</v>
      </c>
      <c r="H81" s="13"/>
      <c r="I81" s="13" t="s">
        <v>362</v>
      </c>
      <c r="J81" s="13" t="s">
        <v>363</v>
      </c>
      <c r="K81" s="13" t="s">
        <v>310</v>
      </c>
      <c r="L81" s="13"/>
      <c r="M81" s="72">
        <v>8969000000</v>
      </c>
      <c r="N81" s="13" t="s">
        <v>407</v>
      </c>
      <c r="O81" s="13">
        <v>2</v>
      </c>
      <c r="P81" s="13"/>
      <c r="Q81" s="73" t="s">
        <v>365</v>
      </c>
    </row>
    <row r="82" spans="1:17" x14ac:dyDescent="0.3">
      <c r="A82" s="13" t="s">
        <v>191</v>
      </c>
      <c r="B82" s="13" t="s">
        <v>426</v>
      </c>
      <c r="C82" s="13">
        <v>2017</v>
      </c>
      <c r="D82" s="13"/>
      <c r="E82" s="13" t="s">
        <v>373</v>
      </c>
      <c r="F82" s="72">
        <v>9834000000</v>
      </c>
      <c r="G82" s="13" t="s">
        <v>98</v>
      </c>
      <c r="H82" s="13"/>
      <c r="I82" s="13" t="s">
        <v>369</v>
      </c>
      <c r="J82" s="13" t="s">
        <v>370</v>
      </c>
      <c r="K82" s="13" t="s">
        <v>310</v>
      </c>
      <c r="L82" s="13"/>
      <c r="M82" s="72">
        <v>9834000000</v>
      </c>
      <c r="N82" s="13" t="s">
        <v>363</v>
      </c>
      <c r="O82" s="13">
        <v>2</v>
      </c>
      <c r="P82" s="13"/>
      <c r="Q82" s="73" t="s">
        <v>371</v>
      </c>
    </row>
    <row r="83" spans="1:17" x14ac:dyDescent="0.3">
      <c r="A83" s="13" t="s">
        <v>191</v>
      </c>
      <c r="B83" s="13" t="s">
        <v>426</v>
      </c>
      <c r="C83" s="13">
        <v>2018</v>
      </c>
      <c r="D83" s="13"/>
      <c r="E83" s="13" t="s">
        <v>375</v>
      </c>
      <c r="F83" s="72">
        <v>11040000000</v>
      </c>
      <c r="G83" s="13" t="s">
        <v>98</v>
      </c>
      <c r="H83" s="13"/>
      <c r="I83" s="13" t="s">
        <v>369</v>
      </c>
      <c r="J83" s="13" t="s">
        <v>370</v>
      </c>
      <c r="K83" s="13" t="s">
        <v>310</v>
      </c>
      <c r="L83" s="13"/>
      <c r="M83" s="72">
        <v>11040000000</v>
      </c>
      <c r="N83" s="13" t="s">
        <v>370</v>
      </c>
      <c r="O83" s="13">
        <v>1</v>
      </c>
      <c r="P83" s="13"/>
      <c r="Q83" s="73" t="s">
        <v>371</v>
      </c>
    </row>
    <row r="84" spans="1:17" x14ac:dyDescent="0.3">
      <c r="A84" s="13" t="s">
        <v>191</v>
      </c>
      <c r="B84" s="13" t="s">
        <v>426</v>
      </c>
      <c r="C84" s="13">
        <v>2019</v>
      </c>
      <c r="D84" s="13"/>
      <c r="E84" s="13" t="s">
        <v>380</v>
      </c>
      <c r="F84" s="72">
        <v>11395000000</v>
      </c>
      <c r="G84" s="13" t="s">
        <v>98</v>
      </c>
      <c r="H84" s="13"/>
      <c r="I84" s="13" t="s">
        <v>376</v>
      </c>
      <c r="J84" s="13" t="s">
        <v>377</v>
      </c>
      <c r="K84" s="13" t="s">
        <v>310</v>
      </c>
      <c r="L84" s="13"/>
      <c r="M84" s="72">
        <v>11395000000</v>
      </c>
      <c r="N84" s="13" t="s">
        <v>377</v>
      </c>
      <c r="O84" s="13">
        <v>1</v>
      </c>
      <c r="P84" s="13"/>
      <c r="Q84" s="73" t="s">
        <v>378</v>
      </c>
    </row>
    <row r="85" spans="1:17" x14ac:dyDescent="0.3">
      <c r="A85" s="13" t="s">
        <v>191</v>
      </c>
      <c r="B85" s="13" t="s">
        <v>426</v>
      </c>
      <c r="C85" s="13">
        <v>2020</v>
      </c>
      <c r="D85" s="13"/>
      <c r="E85" s="13" t="s">
        <v>385</v>
      </c>
      <c r="F85" s="72">
        <v>12242000000</v>
      </c>
      <c r="G85" s="13" t="s">
        <v>98</v>
      </c>
      <c r="H85" s="13"/>
      <c r="I85" s="13" t="s">
        <v>381</v>
      </c>
      <c r="J85" s="13" t="s">
        <v>382</v>
      </c>
      <c r="K85" s="13" t="s">
        <v>310</v>
      </c>
      <c r="L85" s="13"/>
      <c r="M85" s="72">
        <v>12242000000</v>
      </c>
      <c r="N85" s="13" t="s">
        <v>377</v>
      </c>
      <c r="O85" s="13">
        <v>2</v>
      </c>
      <c r="P85" s="13"/>
      <c r="Q85" s="73" t="s">
        <v>383</v>
      </c>
    </row>
    <row r="86" spans="1:17" x14ac:dyDescent="0.3">
      <c r="A86" s="13" t="s">
        <v>191</v>
      </c>
      <c r="B86" s="13" t="s">
        <v>426</v>
      </c>
      <c r="C86" s="13">
        <v>2021</v>
      </c>
      <c r="D86" s="13"/>
      <c r="E86" s="13" t="s">
        <v>390</v>
      </c>
      <c r="F86" s="72">
        <v>14215000000</v>
      </c>
      <c r="G86" s="13" t="s">
        <v>98</v>
      </c>
      <c r="H86" s="13"/>
      <c r="I86" s="13" t="s">
        <v>386</v>
      </c>
      <c r="J86" s="13" t="s">
        <v>387</v>
      </c>
      <c r="K86" s="13" t="s">
        <v>310</v>
      </c>
      <c r="L86" s="13"/>
      <c r="M86" s="72">
        <v>14215000000</v>
      </c>
      <c r="N86" s="13" t="s">
        <v>382</v>
      </c>
      <c r="O86" s="13">
        <v>2</v>
      </c>
      <c r="P86" s="13"/>
      <c r="Q86" s="73" t="s">
        <v>388</v>
      </c>
    </row>
    <row r="87" spans="1:17" x14ac:dyDescent="0.3">
      <c r="A87" s="13" t="s">
        <v>191</v>
      </c>
      <c r="B87" s="13" t="s">
        <v>426</v>
      </c>
      <c r="C87" s="13">
        <v>2022</v>
      </c>
      <c r="D87" s="13"/>
      <c r="E87" s="13" t="s">
        <v>395</v>
      </c>
      <c r="F87" s="72">
        <v>17907000000</v>
      </c>
      <c r="G87" s="13" t="s">
        <v>98</v>
      </c>
      <c r="H87" s="13"/>
      <c r="I87" s="13" t="s">
        <v>391</v>
      </c>
      <c r="J87" s="13" t="s">
        <v>392</v>
      </c>
      <c r="K87" s="13" t="s">
        <v>310</v>
      </c>
      <c r="L87" s="13"/>
      <c r="M87" s="72">
        <v>17907000000</v>
      </c>
      <c r="N87" s="13" t="s">
        <v>387</v>
      </c>
      <c r="O87" s="13">
        <v>2</v>
      </c>
      <c r="P87" s="13"/>
      <c r="Q87" s="73" t="s">
        <v>393</v>
      </c>
    </row>
    <row r="88" spans="1:17" x14ac:dyDescent="0.3">
      <c r="A88" s="13" t="s">
        <v>191</v>
      </c>
      <c r="B88" s="13" t="s">
        <v>426</v>
      </c>
      <c r="C88" s="13">
        <v>2023</v>
      </c>
      <c r="D88" s="13"/>
      <c r="E88" s="13" t="s">
        <v>400</v>
      </c>
      <c r="F88" s="72">
        <v>16651000000</v>
      </c>
      <c r="G88" s="13" t="s">
        <v>98</v>
      </c>
      <c r="H88" s="13"/>
      <c r="I88" s="13" t="s">
        <v>396</v>
      </c>
      <c r="J88" s="13" t="s">
        <v>397</v>
      </c>
      <c r="K88" s="13" t="s">
        <v>310</v>
      </c>
      <c r="L88" s="13"/>
      <c r="M88" s="72">
        <v>16651000000</v>
      </c>
      <c r="N88" s="13" t="s">
        <v>392</v>
      </c>
      <c r="O88" s="13">
        <v>2</v>
      </c>
      <c r="P88" s="13"/>
      <c r="Q88" s="73" t="s">
        <v>398</v>
      </c>
    </row>
    <row r="89" spans="1:17" x14ac:dyDescent="0.3">
      <c r="A89" s="13" t="s">
        <v>191</v>
      </c>
      <c r="B89" s="13" t="s">
        <v>426</v>
      </c>
      <c r="C89" s="13">
        <v>2024</v>
      </c>
      <c r="D89" s="13"/>
      <c r="E89" s="13" t="s">
        <v>403</v>
      </c>
      <c r="F89" s="72">
        <v>18647000000</v>
      </c>
      <c r="G89" s="13" t="s">
        <v>98</v>
      </c>
      <c r="H89" s="13"/>
      <c r="I89" s="13" t="s">
        <v>180</v>
      </c>
      <c r="J89" s="13" t="s">
        <v>181</v>
      </c>
      <c r="K89" s="13" t="s">
        <v>310</v>
      </c>
      <c r="L89" s="13"/>
      <c r="M89" s="72">
        <v>18647000000</v>
      </c>
      <c r="N89" s="13" t="s">
        <v>397</v>
      </c>
      <c r="O89" s="13">
        <v>2</v>
      </c>
      <c r="P89" s="13"/>
      <c r="Q89" s="73" t="s">
        <v>401</v>
      </c>
    </row>
    <row r="90" spans="1:17" x14ac:dyDescent="0.3">
      <c r="A90" s="13" t="s">
        <v>191</v>
      </c>
      <c r="B90" s="13" t="s">
        <v>426</v>
      </c>
      <c r="C90" s="13">
        <v>2025</v>
      </c>
      <c r="D90" s="13"/>
      <c r="E90" s="13" t="s">
        <v>405</v>
      </c>
      <c r="F90" s="72">
        <v>18116000000</v>
      </c>
      <c r="G90" s="13" t="s">
        <v>98</v>
      </c>
      <c r="H90" s="13"/>
      <c r="I90" s="13" t="s">
        <v>180</v>
      </c>
      <c r="J90" s="13" t="s">
        <v>181</v>
      </c>
      <c r="K90" s="13" t="s">
        <v>310</v>
      </c>
      <c r="L90" s="13"/>
      <c r="M90" s="72">
        <v>18116000000</v>
      </c>
      <c r="N90" s="13" t="s">
        <v>181</v>
      </c>
      <c r="O90" s="13">
        <v>1</v>
      </c>
      <c r="P90" s="13"/>
      <c r="Q90" s="73" t="s">
        <v>401</v>
      </c>
    </row>
    <row r="91" spans="1:17" x14ac:dyDescent="0.3">
      <c r="A91" s="13" t="s">
        <v>191</v>
      </c>
      <c r="B91" s="13" t="s">
        <v>427</v>
      </c>
      <c r="C91" s="13">
        <v>2015</v>
      </c>
      <c r="D91" s="13"/>
      <c r="E91" s="13" t="s">
        <v>360</v>
      </c>
      <c r="F91" s="72">
        <v>82000000</v>
      </c>
      <c r="G91" s="13" t="s">
        <v>110</v>
      </c>
      <c r="H91" s="13"/>
      <c r="I91" s="13" t="s">
        <v>406</v>
      </c>
      <c r="J91" s="13" t="s">
        <v>407</v>
      </c>
      <c r="K91" s="13" t="s">
        <v>310</v>
      </c>
      <c r="L91" s="13"/>
      <c r="M91" s="72">
        <v>82000000</v>
      </c>
      <c r="N91" s="13" t="s">
        <v>364</v>
      </c>
      <c r="O91" s="13">
        <v>2</v>
      </c>
      <c r="P91" s="13"/>
      <c r="Q91" s="73" t="s">
        <v>409</v>
      </c>
    </row>
    <row r="92" spans="1:17" x14ac:dyDescent="0.3">
      <c r="A92" s="13" t="s">
        <v>191</v>
      </c>
      <c r="B92" s="13" t="s">
        <v>427</v>
      </c>
      <c r="C92" s="13">
        <v>2017</v>
      </c>
      <c r="D92" s="13"/>
      <c r="E92" s="13" t="s">
        <v>373</v>
      </c>
      <c r="F92" s="72">
        <v>0</v>
      </c>
      <c r="G92" s="13" t="s">
        <v>110</v>
      </c>
      <c r="H92" s="13"/>
      <c r="I92" s="13" t="s">
        <v>362</v>
      </c>
      <c r="J92" s="13" t="s">
        <v>363</v>
      </c>
      <c r="K92" s="13" t="s">
        <v>310</v>
      </c>
      <c r="L92" s="13"/>
      <c r="M92" s="72">
        <v>0</v>
      </c>
      <c r="N92" s="13" t="s">
        <v>363</v>
      </c>
      <c r="O92" s="13">
        <v>1</v>
      </c>
      <c r="P92" s="13"/>
      <c r="Q92" s="73" t="s">
        <v>365</v>
      </c>
    </row>
    <row r="93" spans="1:17" x14ac:dyDescent="0.3">
      <c r="A93" s="13" t="s">
        <v>191</v>
      </c>
      <c r="B93" s="13" t="s">
        <v>428</v>
      </c>
      <c r="C93" s="13">
        <v>2015</v>
      </c>
      <c r="D93" s="13"/>
      <c r="E93" s="13" t="s">
        <v>360</v>
      </c>
      <c r="F93" s="72">
        <v>1283000000</v>
      </c>
      <c r="G93" s="13" t="s">
        <v>80</v>
      </c>
      <c r="H93" s="13"/>
      <c r="I93" s="13" t="s">
        <v>406</v>
      </c>
      <c r="J93" s="13" t="s">
        <v>407</v>
      </c>
      <c r="K93" s="13" t="s">
        <v>310</v>
      </c>
      <c r="L93" s="13"/>
      <c r="M93" s="72">
        <v>1283000000</v>
      </c>
      <c r="N93" s="13" t="s">
        <v>364</v>
      </c>
      <c r="O93" s="13">
        <v>2</v>
      </c>
      <c r="P93" s="13"/>
      <c r="Q93" s="73" t="s">
        <v>409</v>
      </c>
    </row>
    <row r="94" spans="1:17" x14ac:dyDescent="0.3">
      <c r="A94" s="13" t="s">
        <v>191</v>
      </c>
      <c r="B94" s="13" t="s">
        <v>428</v>
      </c>
      <c r="C94" s="13">
        <v>2016</v>
      </c>
      <c r="D94" s="13"/>
      <c r="E94" s="13" t="s">
        <v>367</v>
      </c>
      <c r="F94" s="72">
        <v>1100000000</v>
      </c>
      <c r="G94" s="13" t="s">
        <v>80</v>
      </c>
      <c r="H94" s="13"/>
      <c r="I94" s="13" t="s">
        <v>362</v>
      </c>
      <c r="J94" s="13" t="s">
        <v>363</v>
      </c>
      <c r="K94" s="13" t="s">
        <v>310</v>
      </c>
      <c r="L94" s="13"/>
      <c r="M94" s="72">
        <v>1100000000</v>
      </c>
      <c r="N94" s="13" t="s">
        <v>407</v>
      </c>
      <c r="O94" s="13">
        <v>2</v>
      </c>
      <c r="P94" s="13"/>
      <c r="Q94" s="73" t="s">
        <v>365</v>
      </c>
    </row>
    <row r="95" spans="1:17" x14ac:dyDescent="0.3">
      <c r="A95" s="13" t="s">
        <v>191</v>
      </c>
      <c r="B95" s="13" t="s">
        <v>428</v>
      </c>
      <c r="C95" s="13">
        <v>2017</v>
      </c>
      <c r="D95" s="13"/>
      <c r="E95" s="13" t="s">
        <v>373</v>
      </c>
      <c r="F95" s="72">
        <v>86000000</v>
      </c>
      <c r="G95" s="13" t="s">
        <v>80</v>
      </c>
      <c r="H95" s="13"/>
      <c r="I95" s="13" t="s">
        <v>369</v>
      </c>
      <c r="J95" s="13" t="s">
        <v>370</v>
      </c>
      <c r="K95" s="13" t="s">
        <v>310</v>
      </c>
      <c r="L95" s="13"/>
      <c r="M95" s="72">
        <v>86000000</v>
      </c>
      <c r="N95" s="13" t="s">
        <v>363</v>
      </c>
      <c r="O95" s="13">
        <v>2</v>
      </c>
      <c r="P95" s="13"/>
      <c r="Q95" s="73" t="s">
        <v>371</v>
      </c>
    </row>
    <row r="96" spans="1:17" x14ac:dyDescent="0.3">
      <c r="A96" s="13" t="s">
        <v>191</v>
      </c>
      <c r="B96" s="13" t="s">
        <v>428</v>
      </c>
      <c r="C96" s="13">
        <v>2018</v>
      </c>
      <c r="D96" s="13"/>
      <c r="E96" s="13" t="s">
        <v>375</v>
      </c>
      <c r="F96" s="72">
        <v>90000000</v>
      </c>
      <c r="G96" s="13" t="s">
        <v>80</v>
      </c>
      <c r="H96" s="13"/>
      <c r="I96" s="13" t="s">
        <v>369</v>
      </c>
      <c r="J96" s="13" t="s">
        <v>370</v>
      </c>
      <c r="K96" s="13" t="s">
        <v>310</v>
      </c>
      <c r="L96" s="13"/>
      <c r="M96" s="72">
        <v>90000000</v>
      </c>
      <c r="N96" s="13" t="s">
        <v>370</v>
      </c>
      <c r="O96" s="13">
        <v>1</v>
      </c>
      <c r="P96" s="13"/>
      <c r="Q96" s="73" t="s">
        <v>371</v>
      </c>
    </row>
    <row r="97" spans="1:17" x14ac:dyDescent="0.3">
      <c r="A97" s="13" t="s">
        <v>191</v>
      </c>
      <c r="B97" s="13" t="s">
        <v>428</v>
      </c>
      <c r="C97" s="13">
        <v>2019</v>
      </c>
      <c r="D97" s="13"/>
      <c r="E97" s="13" t="s">
        <v>380</v>
      </c>
      <c r="F97" s="72">
        <v>1699000000</v>
      </c>
      <c r="G97" s="13" t="s">
        <v>80</v>
      </c>
      <c r="H97" s="13"/>
      <c r="I97" s="13" t="s">
        <v>376</v>
      </c>
      <c r="J97" s="13" t="s">
        <v>377</v>
      </c>
      <c r="K97" s="13" t="s">
        <v>310</v>
      </c>
      <c r="L97" s="13"/>
      <c r="M97" s="72">
        <v>1699000000</v>
      </c>
      <c r="N97" s="13" t="s">
        <v>377</v>
      </c>
      <c r="O97" s="13">
        <v>1</v>
      </c>
      <c r="P97" s="13"/>
      <c r="Q97" s="73" t="s">
        <v>378</v>
      </c>
    </row>
    <row r="98" spans="1:17" x14ac:dyDescent="0.3">
      <c r="A98" s="13" t="s">
        <v>191</v>
      </c>
      <c r="B98" s="13" t="s">
        <v>428</v>
      </c>
      <c r="C98" s="13">
        <v>2020</v>
      </c>
      <c r="D98" s="13"/>
      <c r="E98" s="13" t="s">
        <v>385</v>
      </c>
      <c r="F98" s="72">
        <v>95000000</v>
      </c>
      <c r="G98" s="13" t="s">
        <v>80</v>
      </c>
      <c r="H98" s="13"/>
      <c r="I98" s="13" t="s">
        <v>381</v>
      </c>
      <c r="J98" s="13" t="s">
        <v>382</v>
      </c>
      <c r="K98" s="13" t="s">
        <v>310</v>
      </c>
      <c r="L98" s="13"/>
      <c r="M98" s="72">
        <v>95000000</v>
      </c>
      <c r="N98" s="13" t="s">
        <v>377</v>
      </c>
      <c r="O98" s="13">
        <v>2</v>
      </c>
      <c r="P98" s="13"/>
      <c r="Q98" s="73" t="s">
        <v>383</v>
      </c>
    </row>
    <row r="99" spans="1:17" x14ac:dyDescent="0.3">
      <c r="A99" s="13" t="s">
        <v>191</v>
      </c>
      <c r="B99" s="13" t="s">
        <v>428</v>
      </c>
      <c r="C99" s="13">
        <v>2021</v>
      </c>
      <c r="D99" s="13"/>
      <c r="E99" s="13" t="s">
        <v>390</v>
      </c>
      <c r="F99" s="72">
        <v>799000000</v>
      </c>
      <c r="G99" s="13" t="s">
        <v>80</v>
      </c>
      <c r="H99" s="13"/>
      <c r="I99" s="13" t="s">
        <v>386</v>
      </c>
      <c r="J99" s="13" t="s">
        <v>387</v>
      </c>
      <c r="K99" s="13" t="s">
        <v>310</v>
      </c>
      <c r="L99" s="13"/>
      <c r="M99" s="72">
        <v>799000000</v>
      </c>
      <c r="N99" s="13" t="s">
        <v>382</v>
      </c>
      <c r="O99" s="13">
        <v>2</v>
      </c>
      <c r="P99" s="13"/>
      <c r="Q99" s="73" t="s">
        <v>388</v>
      </c>
    </row>
    <row r="100" spans="1:17" x14ac:dyDescent="0.3">
      <c r="A100" s="13" t="s">
        <v>191</v>
      </c>
      <c r="B100" s="13" t="s">
        <v>428</v>
      </c>
      <c r="C100" s="13">
        <v>2022</v>
      </c>
      <c r="D100" s="13"/>
      <c r="E100" s="13" t="s">
        <v>395</v>
      </c>
      <c r="F100" s="72">
        <v>73000000</v>
      </c>
      <c r="G100" s="13" t="s">
        <v>80</v>
      </c>
      <c r="H100" s="13"/>
      <c r="I100" s="13" t="s">
        <v>391</v>
      </c>
      <c r="J100" s="13" t="s">
        <v>392</v>
      </c>
      <c r="K100" s="13" t="s">
        <v>310</v>
      </c>
      <c r="L100" s="13"/>
      <c r="M100" s="72">
        <v>73000000</v>
      </c>
      <c r="N100" s="13" t="s">
        <v>387</v>
      </c>
      <c r="O100" s="13">
        <v>2</v>
      </c>
      <c r="P100" s="13"/>
      <c r="Q100" s="73" t="s">
        <v>393</v>
      </c>
    </row>
    <row r="101" spans="1:17" x14ac:dyDescent="0.3">
      <c r="A101" s="13" t="s">
        <v>191</v>
      </c>
      <c r="B101" s="13" t="s">
        <v>428</v>
      </c>
      <c r="C101" s="13">
        <v>2023</v>
      </c>
      <c r="D101" s="13"/>
      <c r="E101" s="13" t="s">
        <v>400</v>
      </c>
      <c r="F101" s="72">
        <v>1081000000</v>
      </c>
      <c r="G101" s="13" t="s">
        <v>80</v>
      </c>
      <c r="H101" s="13"/>
      <c r="I101" s="13" t="s">
        <v>396</v>
      </c>
      <c r="J101" s="13" t="s">
        <v>397</v>
      </c>
      <c r="K101" s="13" t="s">
        <v>310</v>
      </c>
      <c r="L101" s="13"/>
      <c r="M101" s="72">
        <v>1081000000</v>
      </c>
      <c r="N101" s="13" t="s">
        <v>392</v>
      </c>
      <c r="O101" s="13">
        <v>2</v>
      </c>
      <c r="P101" s="13"/>
      <c r="Q101" s="73" t="s">
        <v>398</v>
      </c>
    </row>
    <row r="102" spans="1:17" x14ac:dyDescent="0.3">
      <c r="A102" s="13" t="s">
        <v>191</v>
      </c>
      <c r="B102" s="13" t="s">
        <v>428</v>
      </c>
      <c r="C102" s="13">
        <v>2024</v>
      </c>
      <c r="D102" s="13"/>
      <c r="E102" s="13" t="s">
        <v>403</v>
      </c>
      <c r="F102" s="72">
        <v>103000000</v>
      </c>
      <c r="G102" s="13" t="s">
        <v>80</v>
      </c>
      <c r="H102" s="13"/>
      <c r="I102" s="13" t="s">
        <v>180</v>
      </c>
      <c r="J102" s="13" t="s">
        <v>181</v>
      </c>
      <c r="K102" s="13" t="s">
        <v>310</v>
      </c>
      <c r="L102" s="13"/>
      <c r="M102" s="72">
        <v>103000000</v>
      </c>
      <c r="N102" s="13" t="s">
        <v>397</v>
      </c>
      <c r="O102" s="13">
        <v>2</v>
      </c>
      <c r="P102" s="13"/>
      <c r="Q102" s="73" t="s">
        <v>401</v>
      </c>
    </row>
    <row r="103" spans="1:17" x14ac:dyDescent="0.3">
      <c r="A103" s="13" t="s">
        <v>191</v>
      </c>
      <c r="B103" s="13" t="s">
        <v>428</v>
      </c>
      <c r="C103" s="13">
        <v>2025</v>
      </c>
      <c r="D103" s="13"/>
      <c r="E103" s="13" t="s">
        <v>405</v>
      </c>
      <c r="F103" s="72">
        <v>75000000</v>
      </c>
      <c r="G103" s="13" t="s">
        <v>80</v>
      </c>
      <c r="H103" s="13"/>
      <c r="I103" s="13" t="s">
        <v>180</v>
      </c>
      <c r="J103" s="13" t="s">
        <v>181</v>
      </c>
      <c r="K103" s="13" t="s">
        <v>310</v>
      </c>
      <c r="L103" s="13"/>
      <c r="M103" s="72">
        <v>75000000</v>
      </c>
      <c r="N103" s="13" t="s">
        <v>181</v>
      </c>
      <c r="O103" s="13">
        <v>1</v>
      </c>
      <c r="P103" s="13"/>
      <c r="Q103" s="73" t="s">
        <v>401</v>
      </c>
    </row>
    <row r="104" spans="1:17" x14ac:dyDescent="0.3">
      <c r="A104" s="13" t="s">
        <v>191</v>
      </c>
      <c r="B104" s="13" t="s">
        <v>429</v>
      </c>
      <c r="C104" s="13">
        <v>2015</v>
      </c>
      <c r="D104" s="13"/>
      <c r="E104" s="13" t="s">
        <v>360</v>
      </c>
      <c r="F104" s="72">
        <v>4852000000</v>
      </c>
      <c r="G104" s="13" t="s">
        <v>82</v>
      </c>
      <c r="H104" s="13"/>
      <c r="I104" s="13" t="s">
        <v>406</v>
      </c>
      <c r="J104" s="13" t="s">
        <v>407</v>
      </c>
      <c r="K104" s="13" t="s">
        <v>310</v>
      </c>
      <c r="L104" s="13" t="s">
        <v>408</v>
      </c>
      <c r="M104" s="72">
        <v>4864000000</v>
      </c>
      <c r="N104" s="13" t="s">
        <v>364</v>
      </c>
      <c r="O104" s="13">
        <v>2</v>
      </c>
      <c r="P104" s="13"/>
      <c r="Q104" s="73" t="s">
        <v>409</v>
      </c>
    </row>
    <row r="105" spans="1:17" x14ac:dyDescent="0.3">
      <c r="A105" s="13" t="s">
        <v>191</v>
      </c>
      <c r="B105" s="13" t="s">
        <v>429</v>
      </c>
      <c r="C105" s="13">
        <v>2016</v>
      </c>
      <c r="D105" s="13"/>
      <c r="E105" s="13" t="s">
        <v>367</v>
      </c>
      <c r="F105" s="72">
        <v>4061000000</v>
      </c>
      <c r="G105" s="13" t="s">
        <v>82</v>
      </c>
      <c r="H105" s="13"/>
      <c r="I105" s="13" t="s">
        <v>362</v>
      </c>
      <c r="J105" s="13" t="s">
        <v>363</v>
      </c>
      <c r="K105" s="13" t="s">
        <v>310</v>
      </c>
      <c r="L105" s="13"/>
      <c r="M105" s="72">
        <v>4061000000</v>
      </c>
      <c r="N105" s="13" t="s">
        <v>407</v>
      </c>
      <c r="O105" s="13">
        <v>2</v>
      </c>
      <c r="P105" s="13"/>
      <c r="Q105" s="73" t="s">
        <v>365</v>
      </c>
    </row>
    <row r="106" spans="1:17" x14ac:dyDescent="0.3">
      <c r="A106" s="13" t="s">
        <v>191</v>
      </c>
      <c r="B106" s="13" t="s">
        <v>429</v>
      </c>
      <c r="C106" s="13">
        <v>2017</v>
      </c>
      <c r="D106" s="13"/>
      <c r="E106" s="13" t="s">
        <v>373</v>
      </c>
      <c r="F106" s="72">
        <v>6573000000</v>
      </c>
      <c r="G106" s="13" t="s">
        <v>82</v>
      </c>
      <c r="H106" s="13"/>
      <c r="I106" s="13" t="s">
        <v>369</v>
      </c>
      <c r="J106" s="13" t="s">
        <v>370</v>
      </c>
      <c r="K106" s="13" t="s">
        <v>310</v>
      </c>
      <c r="L106" s="13"/>
      <c r="M106" s="72">
        <v>6573000000</v>
      </c>
      <c r="N106" s="13" t="s">
        <v>363</v>
      </c>
      <c r="O106" s="13">
        <v>2</v>
      </c>
      <c r="P106" s="13"/>
      <c r="Q106" s="73" t="s">
        <v>371</v>
      </c>
    </row>
    <row r="107" spans="1:17" x14ac:dyDescent="0.3">
      <c r="A107" s="13" t="s">
        <v>191</v>
      </c>
      <c r="B107" s="13" t="s">
        <v>429</v>
      </c>
      <c r="C107" s="13">
        <v>2018</v>
      </c>
      <c r="D107" s="13"/>
      <c r="E107" s="13" t="s">
        <v>375</v>
      </c>
      <c r="F107" s="72">
        <v>6487000000</v>
      </c>
      <c r="G107" s="13" t="s">
        <v>82</v>
      </c>
      <c r="H107" s="13"/>
      <c r="I107" s="13" t="s">
        <v>369</v>
      </c>
      <c r="J107" s="13" t="s">
        <v>370</v>
      </c>
      <c r="K107" s="13" t="s">
        <v>310</v>
      </c>
      <c r="L107" s="13"/>
      <c r="M107" s="72">
        <v>6487000000</v>
      </c>
      <c r="N107" s="13" t="s">
        <v>370</v>
      </c>
      <c r="O107" s="13">
        <v>1</v>
      </c>
      <c r="P107" s="13"/>
      <c r="Q107" s="73" t="s">
        <v>371</v>
      </c>
    </row>
    <row r="108" spans="1:17" x14ac:dyDescent="0.3">
      <c r="A108" s="13" t="s">
        <v>191</v>
      </c>
      <c r="B108" s="13" t="s">
        <v>429</v>
      </c>
      <c r="C108" s="13">
        <v>2019</v>
      </c>
      <c r="D108" s="13"/>
      <c r="E108" s="13" t="s">
        <v>380</v>
      </c>
      <c r="F108" s="72">
        <v>5124000000</v>
      </c>
      <c r="G108" s="13" t="s">
        <v>82</v>
      </c>
      <c r="H108" s="13"/>
      <c r="I108" s="13" t="s">
        <v>376</v>
      </c>
      <c r="J108" s="13" t="s">
        <v>377</v>
      </c>
      <c r="K108" s="13" t="s">
        <v>310</v>
      </c>
      <c r="L108" s="13"/>
      <c r="M108" s="72">
        <v>5124000000</v>
      </c>
      <c r="N108" s="13" t="s">
        <v>377</v>
      </c>
      <c r="O108" s="13">
        <v>1</v>
      </c>
      <c r="P108" s="13"/>
      <c r="Q108" s="73" t="s">
        <v>378</v>
      </c>
    </row>
    <row r="109" spans="1:17" x14ac:dyDescent="0.3">
      <c r="A109" s="13" t="s">
        <v>191</v>
      </c>
      <c r="B109" s="13" t="s">
        <v>429</v>
      </c>
      <c r="C109" s="13">
        <v>2020</v>
      </c>
      <c r="D109" s="13"/>
      <c r="E109" s="13" t="s">
        <v>385</v>
      </c>
      <c r="F109" s="72">
        <v>7514000000</v>
      </c>
      <c r="G109" s="13" t="s">
        <v>82</v>
      </c>
      <c r="H109" s="13"/>
      <c r="I109" s="13" t="s">
        <v>381</v>
      </c>
      <c r="J109" s="13" t="s">
        <v>382</v>
      </c>
      <c r="K109" s="13" t="s">
        <v>310</v>
      </c>
      <c r="L109" s="13"/>
      <c r="M109" s="72">
        <v>7514000000</v>
      </c>
      <c r="N109" s="13" t="s">
        <v>377</v>
      </c>
      <c r="O109" s="13">
        <v>2</v>
      </c>
      <c r="P109" s="13"/>
      <c r="Q109" s="73" t="s">
        <v>383</v>
      </c>
    </row>
    <row r="110" spans="1:17" x14ac:dyDescent="0.3">
      <c r="A110" s="13" t="s">
        <v>191</v>
      </c>
      <c r="B110" s="13" t="s">
        <v>429</v>
      </c>
      <c r="C110" s="13">
        <v>2021</v>
      </c>
      <c r="D110" s="13"/>
      <c r="E110" s="13" t="s">
        <v>390</v>
      </c>
      <c r="F110" s="72">
        <v>6692000000</v>
      </c>
      <c r="G110" s="13" t="s">
        <v>82</v>
      </c>
      <c r="H110" s="13"/>
      <c r="I110" s="13" t="s">
        <v>386</v>
      </c>
      <c r="J110" s="13" t="s">
        <v>387</v>
      </c>
      <c r="K110" s="13" t="s">
        <v>310</v>
      </c>
      <c r="L110" s="13"/>
      <c r="M110" s="72">
        <v>6692000000</v>
      </c>
      <c r="N110" s="13" t="s">
        <v>382</v>
      </c>
      <c r="O110" s="13">
        <v>2</v>
      </c>
      <c r="P110" s="13"/>
      <c r="Q110" s="73" t="s">
        <v>388</v>
      </c>
    </row>
    <row r="111" spans="1:17" x14ac:dyDescent="0.3">
      <c r="A111" s="13" t="s">
        <v>191</v>
      </c>
      <c r="B111" s="13" t="s">
        <v>429</v>
      </c>
      <c r="C111" s="13">
        <v>2022</v>
      </c>
      <c r="D111" s="13"/>
      <c r="E111" s="13" t="s">
        <v>395</v>
      </c>
      <c r="F111" s="72">
        <v>6484000000</v>
      </c>
      <c r="G111" s="13" t="s">
        <v>82</v>
      </c>
      <c r="H111" s="13"/>
      <c r="I111" s="13" t="s">
        <v>391</v>
      </c>
      <c r="J111" s="13" t="s">
        <v>392</v>
      </c>
      <c r="K111" s="13" t="s">
        <v>310</v>
      </c>
      <c r="L111" s="13"/>
      <c r="M111" s="72">
        <v>6484000000</v>
      </c>
      <c r="N111" s="13" t="s">
        <v>387</v>
      </c>
      <c r="O111" s="13">
        <v>2</v>
      </c>
      <c r="P111" s="13"/>
      <c r="Q111" s="73" t="s">
        <v>393</v>
      </c>
    </row>
    <row r="112" spans="1:17" x14ac:dyDescent="0.3">
      <c r="A112" s="13" t="s">
        <v>191</v>
      </c>
      <c r="B112" s="13" t="s">
        <v>429</v>
      </c>
      <c r="C112" s="13">
        <v>2023</v>
      </c>
      <c r="D112" s="13"/>
      <c r="E112" s="13" t="s">
        <v>400</v>
      </c>
      <c r="F112" s="72">
        <v>5377000000</v>
      </c>
      <c r="G112" s="13" t="s">
        <v>82</v>
      </c>
      <c r="H112" s="13"/>
      <c r="I112" s="13" t="s">
        <v>396</v>
      </c>
      <c r="J112" s="13" t="s">
        <v>397</v>
      </c>
      <c r="K112" s="13" t="s">
        <v>310</v>
      </c>
      <c r="L112" s="13"/>
      <c r="M112" s="72">
        <v>5377000000</v>
      </c>
      <c r="N112" s="13" t="s">
        <v>392</v>
      </c>
      <c r="O112" s="13">
        <v>2</v>
      </c>
      <c r="P112" s="13"/>
      <c r="Q112" s="73" t="s">
        <v>398</v>
      </c>
    </row>
    <row r="113" spans="1:17" x14ac:dyDescent="0.3">
      <c r="A113" s="13" t="s">
        <v>191</v>
      </c>
      <c r="B113" s="13" t="s">
        <v>429</v>
      </c>
      <c r="C113" s="13">
        <v>2024</v>
      </c>
      <c r="D113" s="13"/>
      <c r="E113" s="13" t="s">
        <v>403</v>
      </c>
      <c r="F113" s="72">
        <v>5794000000</v>
      </c>
      <c r="G113" s="13" t="s">
        <v>82</v>
      </c>
      <c r="H113" s="13"/>
      <c r="I113" s="13" t="s">
        <v>180</v>
      </c>
      <c r="J113" s="13" t="s">
        <v>181</v>
      </c>
      <c r="K113" s="13" t="s">
        <v>310</v>
      </c>
      <c r="L113" s="13"/>
      <c r="M113" s="72">
        <v>5794000000</v>
      </c>
      <c r="N113" s="13" t="s">
        <v>397</v>
      </c>
      <c r="O113" s="13">
        <v>2</v>
      </c>
      <c r="P113" s="13"/>
      <c r="Q113" s="73" t="s">
        <v>401</v>
      </c>
    </row>
    <row r="114" spans="1:17" x14ac:dyDescent="0.3">
      <c r="A114" s="13" t="s">
        <v>191</v>
      </c>
      <c r="B114" s="13" t="s">
        <v>429</v>
      </c>
      <c r="C114" s="13">
        <v>2025</v>
      </c>
      <c r="D114" s="13"/>
      <c r="E114" s="13" t="s">
        <v>405</v>
      </c>
      <c r="F114" s="72">
        <v>5713000000</v>
      </c>
      <c r="G114" s="13" t="s">
        <v>82</v>
      </c>
      <c r="H114" s="13"/>
      <c r="I114" s="13" t="s">
        <v>180</v>
      </c>
      <c r="J114" s="13" t="s">
        <v>181</v>
      </c>
      <c r="K114" s="13" t="s">
        <v>310</v>
      </c>
      <c r="L114" s="13"/>
      <c r="M114" s="72">
        <v>5713000000</v>
      </c>
      <c r="N114" s="13" t="s">
        <v>181</v>
      </c>
      <c r="O114" s="13">
        <v>1</v>
      </c>
      <c r="P114" s="13"/>
      <c r="Q114" s="73" t="s">
        <v>401</v>
      </c>
    </row>
    <row r="115" spans="1:17" x14ac:dyDescent="0.3">
      <c r="A115" s="13" t="s">
        <v>191</v>
      </c>
      <c r="B115" s="13" t="s">
        <v>63</v>
      </c>
      <c r="C115" s="13">
        <v>2015</v>
      </c>
      <c r="D115" s="13" t="s">
        <v>359</v>
      </c>
      <c r="E115" s="13" t="s">
        <v>360</v>
      </c>
      <c r="F115" s="72">
        <v>2377000000</v>
      </c>
      <c r="G115" s="13" t="s">
        <v>64</v>
      </c>
      <c r="H115" s="13"/>
      <c r="I115" s="13" t="s">
        <v>362</v>
      </c>
      <c r="J115" s="13" t="s">
        <v>363</v>
      </c>
      <c r="K115" s="13" t="s">
        <v>310</v>
      </c>
      <c r="L115" s="13"/>
      <c r="M115" s="72">
        <v>2377000000</v>
      </c>
      <c r="N115" s="13" t="s">
        <v>364</v>
      </c>
      <c r="O115" s="13">
        <v>3</v>
      </c>
      <c r="P115" s="13"/>
      <c r="Q115" s="73" t="s">
        <v>365</v>
      </c>
    </row>
    <row r="116" spans="1:17" x14ac:dyDescent="0.3">
      <c r="A116" s="13" t="s">
        <v>191</v>
      </c>
      <c r="B116" s="13" t="s">
        <v>63</v>
      </c>
      <c r="C116" s="13">
        <v>2016</v>
      </c>
      <c r="D116" s="13" t="s">
        <v>366</v>
      </c>
      <c r="E116" s="13" t="s">
        <v>367</v>
      </c>
      <c r="F116" s="72">
        <v>2350000000</v>
      </c>
      <c r="G116" s="13" t="s">
        <v>64</v>
      </c>
      <c r="H116" s="13"/>
      <c r="I116" s="13" t="s">
        <v>369</v>
      </c>
      <c r="J116" s="13" t="s">
        <v>370</v>
      </c>
      <c r="K116" s="13" t="s">
        <v>310</v>
      </c>
      <c r="L116" s="13"/>
      <c r="M116" s="72">
        <v>2350000000</v>
      </c>
      <c r="N116" s="13" t="s">
        <v>407</v>
      </c>
      <c r="O116" s="13">
        <v>3</v>
      </c>
      <c r="P116" s="13"/>
      <c r="Q116" s="73" t="s">
        <v>371</v>
      </c>
    </row>
    <row r="117" spans="1:17" x14ac:dyDescent="0.3">
      <c r="A117" s="13" t="s">
        <v>191</v>
      </c>
      <c r="B117" s="13" t="s">
        <v>63</v>
      </c>
      <c r="C117" s="13">
        <v>2017</v>
      </c>
      <c r="D117" s="13" t="s">
        <v>372</v>
      </c>
      <c r="E117" s="13" t="s">
        <v>373</v>
      </c>
      <c r="F117" s="72">
        <v>2679000000</v>
      </c>
      <c r="G117" s="13" t="s">
        <v>64</v>
      </c>
      <c r="H117" s="13"/>
      <c r="I117" s="13" t="s">
        <v>369</v>
      </c>
      <c r="J117" s="13" t="s">
        <v>370</v>
      </c>
      <c r="K117" s="13" t="s">
        <v>310</v>
      </c>
      <c r="L117" s="13"/>
      <c r="M117" s="72">
        <v>2679000000</v>
      </c>
      <c r="N117" s="13" t="s">
        <v>363</v>
      </c>
      <c r="O117" s="13">
        <v>2</v>
      </c>
      <c r="P117" s="13"/>
      <c r="Q117" s="73" t="s">
        <v>371</v>
      </c>
    </row>
    <row r="118" spans="1:17" x14ac:dyDescent="0.3">
      <c r="A118" s="13" t="s">
        <v>191</v>
      </c>
      <c r="B118" s="13" t="s">
        <v>63</v>
      </c>
      <c r="C118" s="13">
        <v>2018</v>
      </c>
      <c r="D118" s="13" t="s">
        <v>374</v>
      </c>
      <c r="E118" s="13" t="s">
        <v>375</v>
      </c>
      <c r="F118" s="72">
        <v>3134000000</v>
      </c>
      <c r="G118" s="13" t="s">
        <v>64</v>
      </c>
      <c r="H118" s="13"/>
      <c r="I118" s="13" t="s">
        <v>376</v>
      </c>
      <c r="J118" s="13" t="s">
        <v>377</v>
      </c>
      <c r="K118" s="13" t="s">
        <v>310</v>
      </c>
      <c r="L118" s="13"/>
      <c r="M118" s="72">
        <v>3134000000</v>
      </c>
      <c r="N118" s="13" t="s">
        <v>370</v>
      </c>
      <c r="O118" s="13">
        <v>2</v>
      </c>
      <c r="P118" s="13"/>
      <c r="Q118" s="73" t="s">
        <v>378</v>
      </c>
    </row>
    <row r="119" spans="1:17" x14ac:dyDescent="0.3">
      <c r="A119" s="13" t="s">
        <v>191</v>
      </c>
      <c r="B119" s="13" t="s">
        <v>63</v>
      </c>
      <c r="C119" s="13">
        <v>2019</v>
      </c>
      <c r="D119" s="13" t="s">
        <v>379</v>
      </c>
      <c r="E119" s="13" t="s">
        <v>380</v>
      </c>
      <c r="F119" s="72">
        <v>3659000000</v>
      </c>
      <c r="G119" s="13" t="s">
        <v>64</v>
      </c>
      <c r="H119" s="13"/>
      <c r="I119" s="13" t="s">
        <v>381</v>
      </c>
      <c r="J119" s="13" t="s">
        <v>382</v>
      </c>
      <c r="K119" s="13" t="s">
        <v>310</v>
      </c>
      <c r="L119" s="13"/>
      <c r="M119" s="72">
        <v>3659000000</v>
      </c>
      <c r="N119" s="13" t="s">
        <v>377</v>
      </c>
      <c r="O119" s="13">
        <v>2</v>
      </c>
      <c r="P119" s="13"/>
      <c r="Q119" s="73" t="s">
        <v>383</v>
      </c>
    </row>
    <row r="120" spans="1:17" x14ac:dyDescent="0.3">
      <c r="A120" s="13" t="s">
        <v>191</v>
      </c>
      <c r="B120" s="13" t="s">
        <v>63</v>
      </c>
      <c r="C120" s="13">
        <v>2020</v>
      </c>
      <c r="D120" s="13" t="s">
        <v>384</v>
      </c>
      <c r="E120" s="13" t="s">
        <v>385</v>
      </c>
      <c r="F120" s="72">
        <v>4002000000</v>
      </c>
      <c r="G120" s="13" t="s">
        <v>64</v>
      </c>
      <c r="H120" s="13"/>
      <c r="I120" s="13" t="s">
        <v>386</v>
      </c>
      <c r="J120" s="13" t="s">
        <v>387</v>
      </c>
      <c r="K120" s="13" t="s">
        <v>310</v>
      </c>
      <c r="L120" s="13"/>
      <c r="M120" s="72">
        <v>4002000000</v>
      </c>
      <c r="N120" s="13" t="s">
        <v>377</v>
      </c>
      <c r="O120" s="13">
        <v>3</v>
      </c>
      <c r="P120" s="13"/>
      <c r="Q120" s="73" t="s">
        <v>388</v>
      </c>
    </row>
    <row r="121" spans="1:17" x14ac:dyDescent="0.3">
      <c r="A121" s="13" t="s">
        <v>191</v>
      </c>
      <c r="B121" s="13" t="s">
        <v>63</v>
      </c>
      <c r="C121" s="13">
        <v>2021</v>
      </c>
      <c r="D121" s="13" t="s">
        <v>389</v>
      </c>
      <c r="E121" s="13" t="s">
        <v>390</v>
      </c>
      <c r="F121" s="72">
        <v>5007000000</v>
      </c>
      <c r="G121" s="13" t="s">
        <v>64</v>
      </c>
      <c r="H121" s="13"/>
      <c r="I121" s="13" t="s">
        <v>391</v>
      </c>
      <c r="J121" s="13" t="s">
        <v>392</v>
      </c>
      <c r="K121" s="13" t="s">
        <v>310</v>
      </c>
      <c r="L121" s="13"/>
      <c r="M121" s="72">
        <v>5007000000</v>
      </c>
      <c r="N121" s="13" t="s">
        <v>382</v>
      </c>
      <c r="O121" s="13">
        <v>3</v>
      </c>
      <c r="P121" s="13"/>
      <c r="Q121" s="73" t="s">
        <v>393</v>
      </c>
    </row>
    <row r="122" spans="1:17" x14ac:dyDescent="0.3">
      <c r="A122" s="13" t="s">
        <v>191</v>
      </c>
      <c r="B122" s="13" t="s">
        <v>63</v>
      </c>
      <c r="C122" s="13">
        <v>2022</v>
      </c>
      <c r="D122" s="13" t="s">
        <v>394</v>
      </c>
      <c r="E122" s="13" t="s">
        <v>395</v>
      </c>
      <c r="F122" s="72">
        <v>5844000000</v>
      </c>
      <c r="G122" s="13" t="s">
        <v>64</v>
      </c>
      <c r="H122" s="13"/>
      <c r="I122" s="13" t="s">
        <v>396</v>
      </c>
      <c r="J122" s="13" t="s">
        <v>397</v>
      </c>
      <c r="K122" s="13" t="s">
        <v>310</v>
      </c>
      <c r="L122" s="13"/>
      <c r="M122" s="72">
        <v>5844000000</v>
      </c>
      <c r="N122" s="13" t="s">
        <v>387</v>
      </c>
      <c r="O122" s="13">
        <v>3</v>
      </c>
      <c r="P122" s="13"/>
      <c r="Q122" s="73" t="s">
        <v>398</v>
      </c>
    </row>
    <row r="123" spans="1:17" x14ac:dyDescent="0.3">
      <c r="A123" s="13" t="s">
        <v>191</v>
      </c>
      <c r="B123" s="13" t="s">
        <v>63</v>
      </c>
      <c r="C123" s="13">
        <v>2023</v>
      </c>
      <c r="D123" s="13" t="s">
        <v>399</v>
      </c>
      <c r="E123" s="13" t="s">
        <v>400</v>
      </c>
      <c r="F123" s="72">
        <v>6292000000</v>
      </c>
      <c r="G123" s="13" t="s">
        <v>64</v>
      </c>
      <c r="H123" s="13"/>
      <c r="I123" s="13" t="s">
        <v>180</v>
      </c>
      <c r="J123" s="13" t="s">
        <v>181</v>
      </c>
      <c r="K123" s="13" t="s">
        <v>310</v>
      </c>
      <c r="L123" s="13"/>
      <c r="M123" s="72">
        <v>6292000000</v>
      </c>
      <c r="N123" s="13" t="s">
        <v>392</v>
      </c>
      <c r="O123" s="13">
        <v>3</v>
      </c>
      <c r="P123" s="13"/>
      <c r="Q123" s="73" t="s">
        <v>401</v>
      </c>
    </row>
    <row r="124" spans="1:17" x14ac:dyDescent="0.3">
      <c r="A124" s="13" t="s">
        <v>191</v>
      </c>
      <c r="B124" s="13" t="s">
        <v>63</v>
      </c>
      <c r="C124" s="13">
        <v>2024</v>
      </c>
      <c r="D124" s="13" t="s">
        <v>402</v>
      </c>
      <c r="E124" s="13" t="s">
        <v>403</v>
      </c>
      <c r="F124" s="72">
        <v>7367000000</v>
      </c>
      <c r="G124" s="13" t="s">
        <v>64</v>
      </c>
      <c r="H124" s="13"/>
      <c r="I124" s="13" t="s">
        <v>180</v>
      </c>
      <c r="J124" s="13" t="s">
        <v>181</v>
      </c>
      <c r="K124" s="13" t="s">
        <v>310</v>
      </c>
      <c r="L124" s="13"/>
      <c r="M124" s="72">
        <v>7367000000</v>
      </c>
      <c r="N124" s="13" t="s">
        <v>397</v>
      </c>
      <c r="O124" s="13">
        <v>2</v>
      </c>
      <c r="P124" s="13"/>
      <c r="Q124" s="73" t="s">
        <v>401</v>
      </c>
    </row>
    <row r="125" spans="1:17" x14ac:dyDescent="0.3">
      <c r="A125" s="13" t="s">
        <v>191</v>
      </c>
      <c r="B125" s="13" t="s">
        <v>63</v>
      </c>
      <c r="C125" s="13">
        <v>2025</v>
      </c>
      <c r="D125" s="13" t="s">
        <v>404</v>
      </c>
      <c r="E125" s="13" t="s">
        <v>405</v>
      </c>
      <c r="F125" s="72">
        <v>8099000000</v>
      </c>
      <c r="G125" s="13" t="s">
        <v>64</v>
      </c>
      <c r="H125" s="13"/>
      <c r="I125" s="13" t="s">
        <v>180</v>
      </c>
      <c r="J125" s="13" t="s">
        <v>181</v>
      </c>
      <c r="K125" s="13" t="s">
        <v>310</v>
      </c>
      <c r="L125" s="13"/>
      <c r="M125" s="72">
        <v>8099000000</v>
      </c>
      <c r="N125" s="13" t="s">
        <v>181</v>
      </c>
      <c r="O125" s="13">
        <v>1</v>
      </c>
      <c r="P125" s="13"/>
      <c r="Q125" s="73" t="s">
        <v>401</v>
      </c>
    </row>
    <row r="126" spans="1:17" x14ac:dyDescent="0.3">
      <c r="A126" s="13" t="s">
        <v>191</v>
      </c>
      <c r="B126" s="13" t="s">
        <v>430</v>
      </c>
      <c r="C126" s="13">
        <v>2015</v>
      </c>
      <c r="D126" s="13" t="s">
        <v>359</v>
      </c>
      <c r="E126" s="13" t="s">
        <v>360</v>
      </c>
      <c r="F126" s="72">
        <v>113666000000</v>
      </c>
      <c r="G126" s="13" t="s">
        <v>431</v>
      </c>
      <c r="H126" s="13"/>
      <c r="I126" s="13" t="s">
        <v>362</v>
      </c>
      <c r="J126" s="13" t="s">
        <v>363</v>
      </c>
      <c r="K126" s="13" t="s">
        <v>310</v>
      </c>
      <c r="L126" s="13"/>
      <c r="M126" s="72">
        <v>113666000000</v>
      </c>
      <c r="N126" s="13" t="s">
        <v>407</v>
      </c>
      <c r="O126" s="13">
        <v>2</v>
      </c>
      <c r="P126" s="13" t="s">
        <v>432</v>
      </c>
      <c r="Q126" s="73" t="s">
        <v>365</v>
      </c>
    </row>
    <row r="127" spans="1:17" x14ac:dyDescent="0.3">
      <c r="A127" s="13" t="s">
        <v>191</v>
      </c>
      <c r="B127" s="13" t="s">
        <v>430</v>
      </c>
      <c r="C127" s="13">
        <v>2016</v>
      </c>
      <c r="D127" s="13" t="s">
        <v>366</v>
      </c>
      <c r="E127" s="13" t="s">
        <v>367</v>
      </c>
      <c r="F127" s="72">
        <v>116073000000</v>
      </c>
      <c r="G127" s="13" t="s">
        <v>306</v>
      </c>
      <c r="H127" s="13" t="s">
        <v>433</v>
      </c>
      <c r="I127" s="13" t="s">
        <v>369</v>
      </c>
      <c r="J127" s="13" t="s">
        <v>370</v>
      </c>
      <c r="K127" s="13" t="s">
        <v>310</v>
      </c>
      <c r="L127" s="13"/>
      <c r="M127" s="72">
        <v>116073000000</v>
      </c>
      <c r="N127" s="13" t="s">
        <v>407</v>
      </c>
      <c r="O127" s="13">
        <v>3</v>
      </c>
      <c r="P127" s="13" t="s">
        <v>434</v>
      </c>
      <c r="Q127" s="73" t="s">
        <v>371</v>
      </c>
    </row>
    <row r="128" spans="1:17" x14ac:dyDescent="0.3">
      <c r="A128" s="13" t="s">
        <v>191</v>
      </c>
      <c r="B128" s="13" t="s">
        <v>430</v>
      </c>
      <c r="C128" s="13">
        <v>2017</v>
      </c>
      <c r="D128" s="13" t="s">
        <v>372</v>
      </c>
      <c r="E128" s="13" t="s">
        <v>373</v>
      </c>
      <c r="F128" s="72">
        <v>126172000000</v>
      </c>
      <c r="G128" s="13" t="s">
        <v>306</v>
      </c>
      <c r="H128" s="13" t="s">
        <v>433</v>
      </c>
      <c r="I128" s="13" t="s">
        <v>414</v>
      </c>
      <c r="J128" s="13" t="s">
        <v>415</v>
      </c>
      <c r="K128" s="13" t="s">
        <v>310</v>
      </c>
      <c r="L128" s="13"/>
      <c r="M128" s="72">
        <v>126172000000</v>
      </c>
      <c r="N128" s="13" t="s">
        <v>363</v>
      </c>
      <c r="O128" s="13">
        <v>3</v>
      </c>
      <c r="P128" s="13" t="s">
        <v>435</v>
      </c>
      <c r="Q128" s="73" t="s">
        <v>418</v>
      </c>
    </row>
    <row r="129" spans="1:17" x14ac:dyDescent="0.3">
      <c r="A129" s="13" t="s">
        <v>191</v>
      </c>
      <c r="B129" s="13" t="s">
        <v>430</v>
      </c>
      <c r="C129" s="13">
        <v>2018</v>
      </c>
      <c r="D129" s="13" t="s">
        <v>374</v>
      </c>
      <c r="E129" s="13" t="s">
        <v>375</v>
      </c>
      <c r="F129" s="72">
        <v>138434000000</v>
      </c>
      <c r="G129" s="13" t="s">
        <v>306</v>
      </c>
      <c r="H129" s="13" t="s">
        <v>433</v>
      </c>
      <c r="I129" s="13" t="s">
        <v>376</v>
      </c>
      <c r="J129" s="13" t="s">
        <v>377</v>
      </c>
      <c r="K129" s="13" t="s">
        <v>310</v>
      </c>
      <c r="L129" s="13"/>
      <c r="M129" s="72">
        <v>138434000000</v>
      </c>
      <c r="N129" s="13" t="s">
        <v>370</v>
      </c>
      <c r="O129" s="13">
        <v>4</v>
      </c>
      <c r="P129" s="13" t="s">
        <v>436</v>
      </c>
      <c r="Q129" s="73" t="s">
        <v>378</v>
      </c>
    </row>
    <row r="130" spans="1:17" x14ac:dyDescent="0.3">
      <c r="A130" s="13" t="s">
        <v>191</v>
      </c>
      <c r="B130" s="13" t="s">
        <v>430</v>
      </c>
      <c r="C130" s="13">
        <v>2019</v>
      </c>
      <c r="D130" s="13" t="s">
        <v>379</v>
      </c>
      <c r="E130" s="13" t="s">
        <v>380</v>
      </c>
      <c r="F130" s="72">
        <v>149351000000</v>
      </c>
      <c r="G130" s="13" t="s">
        <v>306</v>
      </c>
      <c r="H130" s="13" t="s">
        <v>433</v>
      </c>
      <c r="I130" s="13" t="s">
        <v>381</v>
      </c>
      <c r="J130" s="13" t="s">
        <v>382</v>
      </c>
      <c r="K130" s="13" t="s">
        <v>310</v>
      </c>
      <c r="L130" s="13"/>
      <c r="M130" s="72">
        <v>149351000000</v>
      </c>
      <c r="N130" s="13" t="s">
        <v>415</v>
      </c>
      <c r="O130" s="13">
        <v>6</v>
      </c>
      <c r="P130" s="13" t="s">
        <v>437</v>
      </c>
      <c r="Q130" s="73" t="s">
        <v>383</v>
      </c>
    </row>
    <row r="131" spans="1:17" x14ac:dyDescent="0.3">
      <c r="A131" s="13" t="s">
        <v>191</v>
      </c>
      <c r="B131" s="13" t="s">
        <v>430</v>
      </c>
      <c r="C131" s="13">
        <v>2020</v>
      </c>
      <c r="D131" s="13" t="s">
        <v>384</v>
      </c>
      <c r="E131" s="13" t="s">
        <v>385</v>
      </c>
      <c r="F131" s="72">
        <v>163220000000</v>
      </c>
      <c r="G131" s="13" t="s">
        <v>306</v>
      </c>
      <c r="H131" s="13" t="s">
        <v>433</v>
      </c>
      <c r="I131" s="13" t="s">
        <v>386</v>
      </c>
      <c r="J131" s="13" t="s">
        <v>387</v>
      </c>
      <c r="K131" s="13" t="s">
        <v>310</v>
      </c>
      <c r="L131" s="13"/>
      <c r="M131" s="72">
        <v>163220000000</v>
      </c>
      <c r="N131" s="13" t="s">
        <v>377</v>
      </c>
      <c r="O131" s="13">
        <v>7</v>
      </c>
      <c r="P131" s="13" t="s">
        <v>438</v>
      </c>
      <c r="Q131" s="73" t="s">
        <v>388</v>
      </c>
    </row>
    <row r="132" spans="1:17" x14ac:dyDescent="0.3">
      <c r="A132" s="13" t="s">
        <v>191</v>
      </c>
      <c r="B132" s="13" t="s">
        <v>430</v>
      </c>
      <c r="C132" s="13">
        <v>2021</v>
      </c>
      <c r="D132" s="13" t="s">
        <v>389</v>
      </c>
      <c r="E132" s="13" t="s">
        <v>390</v>
      </c>
      <c r="F132" s="72">
        <v>192052000000</v>
      </c>
      <c r="G132" s="13" t="s">
        <v>306</v>
      </c>
      <c r="H132" s="13" t="s">
        <v>433</v>
      </c>
      <c r="I132" s="13" t="s">
        <v>391</v>
      </c>
      <c r="J132" s="13" t="s">
        <v>392</v>
      </c>
      <c r="K132" s="13" t="s">
        <v>310</v>
      </c>
      <c r="L132" s="13"/>
      <c r="M132" s="72">
        <v>192052000000</v>
      </c>
      <c r="N132" s="13" t="s">
        <v>382</v>
      </c>
      <c r="O132" s="13">
        <v>6</v>
      </c>
      <c r="P132" s="13" t="s">
        <v>439</v>
      </c>
      <c r="Q132" s="73" t="s">
        <v>393</v>
      </c>
    </row>
    <row r="133" spans="1:17" x14ac:dyDescent="0.3">
      <c r="A133" s="13" t="s">
        <v>191</v>
      </c>
      <c r="B133" s="13" t="s">
        <v>430</v>
      </c>
      <c r="C133" s="13">
        <v>2022</v>
      </c>
      <c r="D133" s="13" t="s">
        <v>394</v>
      </c>
      <c r="E133" s="13" t="s">
        <v>395</v>
      </c>
      <c r="F133" s="72">
        <v>222730000000</v>
      </c>
      <c r="G133" s="13" t="s">
        <v>306</v>
      </c>
      <c r="H133" s="13" t="s">
        <v>433</v>
      </c>
      <c r="I133" s="13" t="s">
        <v>396</v>
      </c>
      <c r="J133" s="13" t="s">
        <v>397</v>
      </c>
      <c r="K133" s="13" t="s">
        <v>310</v>
      </c>
      <c r="L133" s="13"/>
      <c r="M133" s="72">
        <v>222730000000</v>
      </c>
      <c r="N133" s="13" t="s">
        <v>387</v>
      </c>
      <c r="O133" s="13">
        <v>6</v>
      </c>
      <c r="P133" s="13" t="s">
        <v>440</v>
      </c>
      <c r="Q133" s="73" t="s">
        <v>398</v>
      </c>
    </row>
    <row r="134" spans="1:17" x14ac:dyDescent="0.3">
      <c r="A134" s="13" t="s">
        <v>191</v>
      </c>
      <c r="B134" s="13" t="s">
        <v>430</v>
      </c>
      <c r="C134" s="13">
        <v>2023</v>
      </c>
      <c r="D134" s="13" t="s">
        <v>399</v>
      </c>
      <c r="E134" s="13" t="s">
        <v>400</v>
      </c>
      <c r="F134" s="72">
        <v>237710000000</v>
      </c>
      <c r="G134" s="13" t="s">
        <v>306</v>
      </c>
      <c r="H134" s="13" t="s">
        <v>433</v>
      </c>
      <c r="I134" s="13" t="s">
        <v>180</v>
      </c>
      <c r="J134" s="13" t="s">
        <v>181</v>
      </c>
      <c r="K134" s="13" t="s">
        <v>310</v>
      </c>
      <c r="L134" s="13"/>
      <c r="M134" s="72">
        <v>237710000000</v>
      </c>
      <c r="N134" s="13" t="s">
        <v>392</v>
      </c>
      <c r="O134" s="13">
        <v>6</v>
      </c>
      <c r="P134" s="13" t="s">
        <v>441</v>
      </c>
      <c r="Q134" s="73" t="s">
        <v>401</v>
      </c>
    </row>
    <row r="135" spans="1:17" x14ac:dyDescent="0.3">
      <c r="A135" s="13" t="s">
        <v>191</v>
      </c>
      <c r="B135" s="13" t="s">
        <v>430</v>
      </c>
      <c r="C135" s="13">
        <v>2024</v>
      </c>
      <c r="D135" s="13" t="s">
        <v>402</v>
      </c>
      <c r="E135" s="13" t="s">
        <v>403</v>
      </c>
      <c r="F135" s="72">
        <v>249625000000</v>
      </c>
      <c r="G135" s="13" t="s">
        <v>306</v>
      </c>
      <c r="H135" s="13" t="s">
        <v>433</v>
      </c>
      <c r="I135" s="13" t="s">
        <v>180</v>
      </c>
      <c r="J135" s="13" t="s">
        <v>181</v>
      </c>
      <c r="K135" s="13" t="s">
        <v>310</v>
      </c>
      <c r="L135" s="13"/>
      <c r="M135" s="72">
        <v>249625000000</v>
      </c>
      <c r="N135" s="13" t="s">
        <v>397</v>
      </c>
      <c r="O135" s="13">
        <v>4</v>
      </c>
      <c r="P135" s="13" t="s">
        <v>441</v>
      </c>
      <c r="Q135" s="73" t="s">
        <v>401</v>
      </c>
    </row>
    <row r="136" spans="1:17" x14ac:dyDescent="0.3">
      <c r="A136" s="13" t="s">
        <v>191</v>
      </c>
      <c r="B136" s="13" t="s">
        <v>430</v>
      </c>
      <c r="C136" s="13">
        <v>2025</v>
      </c>
      <c r="D136" s="13" t="s">
        <v>404</v>
      </c>
      <c r="E136" s="13" t="s">
        <v>405</v>
      </c>
      <c r="F136" s="72">
        <v>269912000000</v>
      </c>
      <c r="G136" s="13" t="s">
        <v>306</v>
      </c>
      <c r="H136" s="13" t="s">
        <v>433</v>
      </c>
      <c r="I136" s="13" t="s">
        <v>180</v>
      </c>
      <c r="J136" s="13" t="s">
        <v>181</v>
      </c>
      <c r="K136" s="13" t="s">
        <v>310</v>
      </c>
      <c r="L136" s="13"/>
      <c r="M136" s="72">
        <v>269912000000</v>
      </c>
      <c r="N136" s="13" t="s">
        <v>181</v>
      </c>
      <c r="O136" s="13">
        <v>2</v>
      </c>
      <c r="P136" s="13" t="s">
        <v>441</v>
      </c>
      <c r="Q136" s="73" t="s">
        <v>401</v>
      </c>
    </row>
    <row r="137" spans="1:17" x14ac:dyDescent="0.3">
      <c r="A137" s="13" t="s">
        <v>191</v>
      </c>
      <c r="B137" s="13" t="s">
        <v>442</v>
      </c>
      <c r="C137" s="13">
        <v>2015</v>
      </c>
      <c r="D137" s="13" t="s">
        <v>359</v>
      </c>
      <c r="E137" s="13" t="s">
        <v>360</v>
      </c>
      <c r="F137" s="72">
        <v>3624000000</v>
      </c>
      <c r="G137" s="13" t="s">
        <v>90</v>
      </c>
      <c r="H137" s="13"/>
      <c r="I137" s="13" t="s">
        <v>362</v>
      </c>
      <c r="J137" s="13" t="s">
        <v>363</v>
      </c>
      <c r="K137" s="13" t="s">
        <v>310</v>
      </c>
      <c r="L137" s="13"/>
      <c r="M137" s="72">
        <v>3624000000</v>
      </c>
      <c r="N137" s="13" t="s">
        <v>364</v>
      </c>
      <c r="O137" s="13">
        <v>3</v>
      </c>
      <c r="P137" s="13"/>
      <c r="Q137" s="73" t="s">
        <v>365</v>
      </c>
    </row>
    <row r="138" spans="1:17" x14ac:dyDescent="0.3">
      <c r="A138" s="13" t="s">
        <v>191</v>
      </c>
      <c r="B138" s="13" t="s">
        <v>442</v>
      </c>
      <c r="C138" s="13">
        <v>2016</v>
      </c>
      <c r="D138" s="13" t="s">
        <v>366</v>
      </c>
      <c r="E138" s="13" t="s">
        <v>367</v>
      </c>
      <c r="F138" s="72">
        <v>3672000000</v>
      </c>
      <c r="G138" s="13" t="s">
        <v>90</v>
      </c>
      <c r="H138" s="13"/>
      <c r="I138" s="13" t="s">
        <v>369</v>
      </c>
      <c r="J138" s="13" t="s">
        <v>370</v>
      </c>
      <c r="K138" s="13" t="s">
        <v>310</v>
      </c>
      <c r="L138" s="13"/>
      <c r="M138" s="72">
        <v>3672000000</v>
      </c>
      <c r="N138" s="13" t="s">
        <v>407</v>
      </c>
      <c r="O138" s="13">
        <v>3</v>
      </c>
      <c r="P138" s="13"/>
      <c r="Q138" s="73" t="s">
        <v>371</v>
      </c>
    </row>
    <row r="139" spans="1:17" x14ac:dyDescent="0.3">
      <c r="A139" s="13" t="s">
        <v>191</v>
      </c>
      <c r="B139" s="13" t="s">
        <v>442</v>
      </c>
      <c r="C139" s="13">
        <v>2017</v>
      </c>
      <c r="D139" s="13" t="s">
        <v>372</v>
      </c>
      <c r="E139" s="13" t="s">
        <v>373</v>
      </c>
      <c r="F139" s="72">
        <v>4111000000</v>
      </c>
      <c r="G139" s="13" t="s">
        <v>90</v>
      </c>
      <c r="H139" s="13"/>
      <c r="I139" s="13" t="s">
        <v>369</v>
      </c>
      <c r="J139" s="13" t="s">
        <v>370</v>
      </c>
      <c r="K139" s="13" t="s">
        <v>310</v>
      </c>
      <c r="L139" s="13"/>
      <c r="M139" s="72">
        <v>4111000000</v>
      </c>
      <c r="N139" s="13" t="s">
        <v>363</v>
      </c>
      <c r="O139" s="13">
        <v>2</v>
      </c>
      <c r="P139" s="13"/>
      <c r="Q139" s="73" t="s">
        <v>371</v>
      </c>
    </row>
    <row r="140" spans="1:17" x14ac:dyDescent="0.3">
      <c r="A140" s="13" t="s">
        <v>191</v>
      </c>
      <c r="B140" s="13" t="s">
        <v>442</v>
      </c>
      <c r="C140" s="13">
        <v>2018</v>
      </c>
      <c r="D140" s="13" t="s">
        <v>374</v>
      </c>
      <c r="E140" s="13" t="s">
        <v>375</v>
      </c>
      <c r="F140" s="72">
        <v>4480000000</v>
      </c>
      <c r="G140" s="13" t="s">
        <v>90</v>
      </c>
      <c r="H140" s="13"/>
      <c r="I140" s="13" t="s">
        <v>376</v>
      </c>
      <c r="J140" s="13" t="s">
        <v>377</v>
      </c>
      <c r="K140" s="13" t="s">
        <v>310</v>
      </c>
      <c r="L140" s="13"/>
      <c r="M140" s="72">
        <v>4480000000</v>
      </c>
      <c r="N140" s="13" t="s">
        <v>370</v>
      </c>
      <c r="O140" s="13">
        <v>2</v>
      </c>
      <c r="P140" s="13"/>
      <c r="Q140" s="73" t="s">
        <v>378</v>
      </c>
    </row>
    <row r="141" spans="1:17" x14ac:dyDescent="0.3">
      <c r="A141" s="13" t="s">
        <v>191</v>
      </c>
      <c r="B141" s="13" t="s">
        <v>442</v>
      </c>
      <c r="C141" s="13">
        <v>2019</v>
      </c>
      <c r="D141" s="13" t="s">
        <v>379</v>
      </c>
      <c r="E141" s="13" t="s">
        <v>380</v>
      </c>
      <c r="F141" s="72">
        <v>4737000000</v>
      </c>
      <c r="G141" s="13" t="s">
        <v>90</v>
      </c>
      <c r="H141" s="13"/>
      <c r="I141" s="13" t="s">
        <v>381</v>
      </c>
      <c r="J141" s="13" t="s">
        <v>382</v>
      </c>
      <c r="K141" s="13" t="s">
        <v>310</v>
      </c>
      <c r="L141" s="13"/>
      <c r="M141" s="72">
        <v>4737000000</v>
      </c>
      <c r="N141" s="13" t="s">
        <v>377</v>
      </c>
      <c r="O141" s="13">
        <v>2</v>
      </c>
      <c r="P141" s="13"/>
      <c r="Q141" s="73" t="s">
        <v>383</v>
      </c>
    </row>
    <row r="142" spans="1:17" x14ac:dyDescent="0.3">
      <c r="A142" s="13" t="s">
        <v>191</v>
      </c>
      <c r="B142" s="13" t="s">
        <v>442</v>
      </c>
      <c r="C142" s="13">
        <v>2020</v>
      </c>
      <c r="D142" s="13" t="s">
        <v>384</v>
      </c>
      <c r="E142" s="13" t="s">
        <v>385</v>
      </c>
      <c r="F142" s="72">
        <v>5435000000</v>
      </c>
      <c r="G142" s="13" t="s">
        <v>90</v>
      </c>
      <c r="H142" s="13"/>
      <c r="I142" s="13" t="s">
        <v>386</v>
      </c>
      <c r="J142" s="13" t="s">
        <v>387</v>
      </c>
      <c r="K142" s="13" t="s">
        <v>310</v>
      </c>
      <c r="L142" s="13"/>
      <c r="M142" s="72">
        <v>5435000000</v>
      </c>
      <c r="N142" s="13" t="s">
        <v>377</v>
      </c>
      <c r="O142" s="13">
        <v>3</v>
      </c>
      <c r="P142" s="13"/>
      <c r="Q142" s="73" t="s">
        <v>388</v>
      </c>
    </row>
    <row r="143" spans="1:17" x14ac:dyDescent="0.3">
      <c r="A143" s="13" t="s">
        <v>191</v>
      </c>
      <c r="B143" s="13" t="s">
        <v>442</v>
      </c>
      <c r="C143" s="13">
        <v>2021</v>
      </c>
      <c r="D143" s="13" t="s">
        <v>389</v>
      </c>
      <c r="E143" s="13" t="s">
        <v>390</v>
      </c>
      <c r="F143" s="72">
        <v>6708000000</v>
      </c>
      <c r="G143" s="13" t="s">
        <v>90</v>
      </c>
      <c r="H143" s="13"/>
      <c r="I143" s="13" t="s">
        <v>391</v>
      </c>
      <c r="J143" s="13" t="s">
        <v>392</v>
      </c>
      <c r="K143" s="13" t="s">
        <v>310</v>
      </c>
      <c r="L143" s="13"/>
      <c r="M143" s="72">
        <v>6708000000</v>
      </c>
      <c r="N143" s="13" t="s">
        <v>382</v>
      </c>
      <c r="O143" s="13">
        <v>3</v>
      </c>
      <c r="P143" s="13"/>
      <c r="Q143" s="73" t="s">
        <v>393</v>
      </c>
    </row>
    <row r="144" spans="1:17" x14ac:dyDescent="0.3">
      <c r="A144" s="13" t="s">
        <v>191</v>
      </c>
      <c r="B144" s="13" t="s">
        <v>442</v>
      </c>
      <c r="C144" s="13">
        <v>2022</v>
      </c>
      <c r="D144" s="13" t="s">
        <v>394</v>
      </c>
      <c r="E144" s="13" t="s">
        <v>395</v>
      </c>
      <c r="F144" s="72">
        <v>7793000000</v>
      </c>
      <c r="G144" s="13" t="s">
        <v>90</v>
      </c>
      <c r="H144" s="13"/>
      <c r="I144" s="13" t="s">
        <v>396</v>
      </c>
      <c r="J144" s="13" t="s">
        <v>397</v>
      </c>
      <c r="K144" s="13" t="s">
        <v>310</v>
      </c>
      <c r="L144" s="13"/>
      <c r="M144" s="72">
        <v>7793000000</v>
      </c>
      <c r="N144" s="13" t="s">
        <v>387</v>
      </c>
      <c r="O144" s="13">
        <v>3</v>
      </c>
      <c r="P144" s="13"/>
      <c r="Q144" s="73" t="s">
        <v>398</v>
      </c>
    </row>
    <row r="145" spans="1:17" x14ac:dyDescent="0.3">
      <c r="A145" s="13" t="s">
        <v>191</v>
      </c>
      <c r="B145" s="13" t="s">
        <v>442</v>
      </c>
      <c r="C145" s="13">
        <v>2023</v>
      </c>
      <c r="D145" s="13" t="s">
        <v>399</v>
      </c>
      <c r="E145" s="13" t="s">
        <v>400</v>
      </c>
      <c r="F145" s="72">
        <v>8114000000</v>
      </c>
      <c r="G145" s="13" t="s">
        <v>90</v>
      </c>
      <c r="H145" s="13"/>
      <c r="I145" s="13" t="s">
        <v>180</v>
      </c>
      <c r="J145" s="13" t="s">
        <v>181</v>
      </c>
      <c r="K145" s="13" t="s">
        <v>310</v>
      </c>
      <c r="L145" s="13"/>
      <c r="M145" s="72">
        <v>8114000000</v>
      </c>
      <c r="N145" s="13" t="s">
        <v>392</v>
      </c>
      <c r="O145" s="13">
        <v>3</v>
      </c>
      <c r="P145" s="13"/>
      <c r="Q145" s="73" t="s">
        <v>401</v>
      </c>
    </row>
    <row r="146" spans="1:17" x14ac:dyDescent="0.3">
      <c r="A146" s="13" t="s">
        <v>191</v>
      </c>
      <c r="B146" s="13" t="s">
        <v>442</v>
      </c>
      <c r="C146" s="13">
        <v>2024</v>
      </c>
      <c r="D146" s="13" t="s">
        <v>402</v>
      </c>
      <c r="E146" s="13" t="s">
        <v>403</v>
      </c>
      <c r="F146" s="72">
        <v>9285000000</v>
      </c>
      <c r="G146" s="13" t="s">
        <v>90</v>
      </c>
      <c r="H146" s="13"/>
      <c r="I146" s="13" t="s">
        <v>180</v>
      </c>
      <c r="J146" s="13" t="s">
        <v>181</v>
      </c>
      <c r="K146" s="13" t="s">
        <v>310</v>
      </c>
      <c r="L146" s="13"/>
      <c r="M146" s="72">
        <v>9285000000</v>
      </c>
      <c r="N146" s="13" t="s">
        <v>397</v>
      </c>
      <c r="O146" s="13">
        <v>2</v>
      </c>
      <c r="P146" s="13"/>
      <c r="Q146" s="73" t="s">
        <v>401</v>
      </c>
    </row>
    <row r="147" spans="1:17" x14ac:dyDescent="0.3">
      <c r="A147" s="13" t="s">
        <v>191</v>
      </c>
      <c r="B147" s="13" t="s">
        <v>442</v>
      </c>
      <c r="C147" s="13">
        <v>2025</v>
      </c>
      <c r="D147" s="13" t="s">
        <v>404</v>
      </c>
      <c r="E147" s="13" t="s">
        <v>405</v>
      </c>
      <c r="F147" s="72">
        <v>10383000000</v>
      </c>
      <c r="G147" s="13" t="s">
        <v>90</v>
      </c>
      <c r="H147" s="13"/>
      <c r="I147" s="13" t="s">
        <v>180</v>
      </c>
      <c r="J147" s="13" t="s">
        <v>181</v>
      </c>
      <c r="K147" s="13" t="s">
        <v>310</v>
      </c>
      <c r="L147" s="13"/>
      <c r="M147" s="72">
        <v>10383000000</v>
      </c>
      <c r="N147" s="13" t="s">
        <v>181</v>
      </c>
      <c r="O147" s="13">
        <v>1</v>
      </c>
      <c r="P147" s="13"/>
      <c r="Q147" s="73" t="s">
        <v>401</v>
      </c>
    </row>
    <row r="148" spans="1:17" x14ac:dyDescent="0.3">
      <c r="A148" s="13" t="s">
        <v>191</v>
      </c>
      <c r="B148" s="13" t="s">
        <v>443</v>
      </c>
      <c r="C148" s="13">
        <v>2020</v>
      </c>
      <c r="D148" s="13"/>
      <c r="E148" s="13" t="s">
        <v>385</v>
      </c>
      <c r="F148" s="72">
        <v>231000000</v>
      </c>
      <c r="G148" s="13" t="s">
        <v>444</v>
      </c>
      <c r="H148" s="13"/>
      <c r="I148" s="13" t="s">
        <v>376</v>
      </c>
      <c r="J148" s="13" t="s">
        <v>377</v>
      </c>
      <c r="K148" s="13" t="s">
        <v>310</v>
      </c>
      <c r="L148" s="13"/>
      <c r="M148" s="72">
        <v>231000000</v>
      </c>
      <c r="N148" s="13" t="s">
        <v>377</v>
      </c>
      <c r="O148" s="13">
        <v>1</v>
      </c>
      <c r="P148" s="13"/>
      <c r="Q148" s="73" t="s">
        <v>378</v>
      </c>
    </row>
    <row r="149" spans="1:17" x14ac:dyDescent="0.3">
      <c r="A149" s="13" t="s">
        <v>191</v>
      </c>
      <c r="B149" s="13" t="s">
        <v>443</v>
      </c>
      <c r="C149" s="13">
        <v>2024</v>
      </c>
      <c r="D149" s="13"/>
      <c r="E149" s="13" t="s">
        <v>403</v>
      </c>
      <c r="F149" s="72">
        <v>179000000</v>
      </c>
      <c r="G149" s="13" t="s">
        <v>444</v>
      </c>
      <c r="H149" s="13"/>
      <c r="I149" s="13" t="s">
        <v>180</v>
      </c>
      <c r="J149" s="13" t="s">
        <v>181</v>
      </c>
      <c r="K149" s="13" t="s">
        <v>310</v>
      </c>
      <c r="L149" s="13"/>
      <c r="M149" s="72">
        <v>179000000</v>
      </c>
      <c r="N149" s="13" t="s">
        <v>181</v>
      </c>
      <c r="O149" s="13">
        <v>1</v>
      </c>
      <c r="P149" s="13"/>
      <c r="Q149" s="73" t="s">
        <v>401</v>
      </c>
    </row>
    <row r="150" spans="1:17" x14ac:dyDescent="0.3">
      <c r="A150" s="13" t="s">
        <v>191</v>
      </c>
      <c r="B150" s="13" t="s">
        <v>443</v>
      </c>
      <c r="C150" s="13">
        <v>2025</v>
      </c>
      <c r="D150" s="13"/>
      <c r="E150" s="13" t="s">
        <v>405</v>
      </c>
      <c r="F150" s="72">
        <v>208000000</v>
      </c>
      <c r="G150" s="13" t="s">
        <v>444</v>
      </c>
      <c r="H150" s="13"/>
      <c r="I150" s="13" t="s">
        <v>180</v>
      </c>
      <c r="J150" s="13" t="s">
        <v>181</v>
      </c>
      <c r="K150" s="13" t="s">
        <v>310</v>
      </c>
      <c r="L150" s="13"/>
      <c r="M150" s="72">
        <v>208000000</v>
      </c>
      <c r="N150" s="13" t="s">
        <v>181</v>
      </c>
      <c r="O150" s="13">
        <v>1</v>
      </c>
      <c r="P150" s="13"/>
      <c r="Q150" s="73" t="s">
        <v>401</v>
      </c>
    </row>
    <row r="151" spans="1:17" x14ac:dyDescent="0.3">
      <c r="A151" s="13" t="s">
        <v>191</v>
      </c>
      <c r="B151" s="13" t="s">
        <v>445</v>
      </c>
      <c r="C151" s="13">
        <v>2019</v>
      </c>
      <c r="D151" s="13"/>
      <c r="E151" s="13" t="s">
        <v>380</v>
      </c>
      <c r="F151" s="72">
        <v>0</v>
      </c>
      <c r="G151" s="13" t="s">
        <v>446</v>
      </c>
      <c r="H151" s="13"/>
      <c r="I151" s="13" t="s">
        <v>376</v>
      </c>
      <c r="J151" s="13" t="s">
        <v>377</v>
      </c>
      <c r="K151" s="13" t="s">
        <v>310</v>
      </c>
      <c r="L151" s="13"/>
      <c r="M151" s="72">
        <v>0</v>
      </c>
      <c r="N151" s="13" t="s">
        <v>377</v>
      </c>
      <c r="O151" s="13">
        <v>1</v>
      </c>
      <c r="P151" s="13"/>
      <c r="Q151" s="73" t="s">
        <v>378</v>
      </c>
    </row>
    <row r="152" spans="1:17" x14ac:dyDescent="0.3">
      <c r="A152" s="13" t="s">
        <v>191</v>
      </c>
      <c r="B152" s="13" t="s">
        <v>445</v>
      </c>
      <c r="C152" s="13">
        <v>2020</v>
      </c>
      <c r="D152" s="13"/>
      <c r="E152" s="13" t="s">
        <v>385</v>
      </c>
      <c r="F152" s="72">
        <v>2558000000</v>
      </c>
      <c r="G152" s="13" t="s">
        <v>446</v>
      </c>
      <c r="H152" s="13"/>
      <c r="I152" s="13" t="s">
        <v>381</v>
      </c>
      <c r="J152" s="13" t="s">
        <v>382</v>
      </c>
      <c r="K152" s="13" t="s">
        <v>310</v>
      </c>
      <c r="L152" s="13"/>
      <c r="M152" s="72">
        <v>2558000000</v>
      </c>
      <c r="N152" s="13" t="s">
        <v>377</v>
      </c>
      <c r="O152" s="13">
        <v>2</v>
      </c>
      <c r="P152" s="13"/>
      <c r="Q152" s="73" t="s">
        <v>383</v>
      </c>
    </row>
    <row r="153" spans="1:17" x14ac:dyDescent="0.3">
      <c r="A153" s="13" t="s">
        <v>191</v>
      </c>
      <c r="B153" s="13" t="s">
        <v>445</v>
      </c>
      <c r="C153" s="13">
        <v>2021</v>
      </c>
      <c r="D153" s="13"/>
      <c r="E153" s="13" t="s">
        <v>390</v>
      </c>
      <c r="F153" s="72">
        <v>2642000000</v>
      </c>
      <c r="G153" s="13" t="s">
        <v>446</v>
      </c>
      <c r="H153" s="13"/>
      <c r="I153" s="13" t="s">
        <v>386</v>
      </c>
      <c r="J153" s="13" t="s">
        <v>387</v>
      </c>
      <c r="K153" s="13" t="s">
        <v>310</v>
      </c>
      <c r="L153" s="13"/>
      <c r="M153" s="72">
        <v>2642000000</v>
      </c>
      <c r="N153" s="13" t="s">
        <v>382</v>
      </c>
      <c r="O153" s="13">
        <v>2</v>
      </c>
      <c r="P153" s="13"/>
      <c r="Q153" s="73" t="s">
        <v>388</v>
      </c>
    </row>
    <row r="154" spans="1:17" x14ac:dyDescent="0.3">
      <c r="A154" s="13" t="s">
        <v>191</v>
      </c>
      <c r="B154" s="13" t="s">
        <v>445</v>
      </c>
      <c r="C154" s="13">
        <v>2022</v>
      </c>
      <c r="D154" s="13"/>
      <c r="E154" s="13" t="s">
        <v>395</v>
      </c>
      <c r="F154" s="72">
        <v>2482000000</v>
      </c>
      <c r="G154" s="13" t="s">
        <v>446</v>
      </c>
      <c r="H154" s="13"/>
      <c r="I154" s="13" t="s">
        <v>391</v>
      </c>
      <c r="J154" s="13" t="s">
        <v>392</v>
      </c>
      <c r="K154" s="13" t="s">
        <v>310</v>
      </c>
      <c r="L154" s="13"/>
      <c r="M154" s="72">
        <v>2482000000</v>
      </c>
      <c r="N154" s="13" t="s">
        <v>387</v>
      </c>
      <c r="O154" s="13">
        <v>2</v>
      </c>
      <c r="P154" s="13"/>
      <c r="Q154" s="73" t="s">
        <v>393</v>
      </c>
    </row>
    <row r="155" spans="1:17" x14ac:dyDescent="0.3">
      <c r="A155" s="13" t="s">
        <v>191</v>
      </c>
      <c r="B155" s="13" t="s">
        <v>445</v>
      </c>
      <c r="C155" s="13">
        <v>2023</v>
      </c>
      <c r="D155" s="13"/>
      <c r="E155" s="13" t="s">
        <v>400</v>
      </c>
      <c r="F155" s="72">
        <v>2426000000</v>
      </c>
      <c r="G155" s="13" t="s">
        <v>446</v>
      </c>
      <c r="H155" s="13"/>
      <c r="I155" s="13" t="s">
        <v>396</v>
      </c>
      <c r="J155" s="13" t="s">
        <v>397</v>
      </c>
      <c r="K155" s="13" t="s">
        <v>310</v>
      </c>
      <c r="L155" s="13"/>
      <c r="M155" s="72">
        <v>2426000000</v>
      </c>
      <c r="N155" s="13" t="s">
        <v>392</v>
      </c>
      <c r="O155" s="13">
        <v>2</v>
      </c>
      <c r="P155" s="13"/>
      <c r="Q155" s="73" t="s">
        <v>398</v>
      </c>
    </row>
    <row r="156" spans="1:17" x14ac:dyDescent="0.3">
      <c r="A156" s="13" t="s">
        <v>191</v>
      </c>
      <c r="B156" s="13" t="s">
        <v>445</v>
      </c>
      <c r="C156" s="13">
        <v>2024</v>
      </c>
      <c r="D156" s="13"/>
      <c r="E156" s="13" t="s">
        <v>403</v>
      </c>
      <c r="F156" s="72">
        <v>2375000000</v>
      </c>
      <c r="G156" s="13" t="s">
        <v>446</v>
      </c>
      <c r="H156" s="13"/>
      <c r="I156" s="13" t="s">
        <v>180</v>
      </c>
      <c r="J156" s="13" t="s">
        <v>181</v>
      </c>
      <c r="K156" s="13" t="s">
        <v>310</v>
      </c>
      <c r="L156" s="13"/>
      <c r="M156" s="72">
        <v>2375000000</v>
      </c>
      <c r="N156" s="13" t="s">
        <v>397</v>
      </c>
      <c r="O156" s="13">
        <v>2</v>
      </c>
      <c r="P156" s="13"/>
      <c r="Q156" s="73" t="s">
        <v>401</v>
      </c>
    </row>
    <row r="157" spans="1:17" x14ac:dyDescent="0.3">
      <c r="A157" s="13" t="s">
        <v>191</v>
      </c>
      <c r="B157" s="13" t="s">
        <v>445</v>
      </c>
      <c r="C157" s="13">
        <v>2025</v>
      </c>
      <c r="D157" s="13"/>
      <c r="E157" s="13" t="s">
        <v>405</v>
      </c>
      <c r="F157" s="72">
        <v>2460000000</v>
      </c>
      <c r="G157" s="13" t="s">
        <v>446</v>
      </c>
      <c r="H157" s="13"/>
      <c r="I157" s="13" t="s">
        <v>180</v>
      </c>
      <c r="J157" s="13" t="s">
        <v>181</v>
      </c>
      <c r="K157" s="13" t="s">
        <v>310</v>
      </c>
      <c r="L157" s="13"/>
      <c r="M157" s="72">
        <v>2460000000</v>
      </c>
      <c r="N157" s="13" t="s">
        <v>181</v>
      </c>
      <c r="O157" s="13">
        <v>1</v>
      </c>
      <c r="P157" s="13"/>
      <c r="Q157" s="73" t="s">
        <v>401</v>
      </c>
    </row>
    <row r="158" spans="1:17" x14ac:dyDescent="0.3">
      <c r="A158" s="13" t="s">
        <v>191</v>
      </c>
      <c r="B158" s="13" t="s">
        <v>447</v>
      </c>
      <c r="C158" s="13">
        <v>2020</v>
      </c>
      <c r="D158" s="13"/>
      <c r="E158" s="13" t="s">
        <v>385</v>
      </c>
      <c r="F158" s="72">
        <v>2789000000</v>
      </c>
      <c r="G158" s="13" t="s">
        <v>129</v>
      </c>
      <c r="H158" s="13"/>
      <c r="I158" s="13" t="s">
        <v>376</v>
      </c>
      <c r="J158" s="13" t="s">
        <v>377</v>
      </c>
      <c r="K158" s="13" t="s">
        <v>310</v>
      </c>
      <c r="L158" s="13"/>
      <c r="M158" s="72">
        <v>2789000000</v>
      </c>
      <c r="N158" s="13" t="s">
        <v>377</v>
      </c>
      <c r="O158" s="13">
        <v>1</v>
      </c>
      <c r="P158" s="13"/>
      <c r="Q158" s="73" t="s">
        <v>378</v>
      </c>
    </row>
    <row r="159" spans="1:17" x14ac:dyDescent="0.3">
      <c r="A159" s="13" t="s">
        <v>191</v>
      </c>
      <c r="B159" s="13" t="s">
        <v>447</v>
      </c>
      <c r="C159" s="13">
        <v>2021</v>
      </c>
      <c r="D159" s="13"/>
      <c r="E159" s="13" t="s">
        <v>390</v>
      </c>
      <c r="F159" s="72">
        <v>2864000000</v>
      </c>
      <c r="G159" s="13" t="s">
        <v>129</v>
      </c>
      <c r="H159" s="13"/>
      <c r="I159" s="13" t="s">
        <v>381</v>
      </c>
      <c r="J159" s="13" t="s">
        <v>382</v>
      </c>
      <c r="K159" s="13" t="s">
        <v>310</v>
      </c>
      <c r="L159" s="13"/>
      <c r="M159" s="72">
        <v>2864000000</v>
      </c>
      <c r="N159" s="13" t="s">
        <v>382</v>
      </c>
      <c r="O159" s="13">
        <v>1</v>
      </c>
      <c r="P159" s="13"/>
      <c r="Q159" s="73" t="s">
        <v>383</v>
      </c>
    </row>
    <row r="160" spans="1:17" x14ac:dyDescent="0.3">
      <c r="A160" s="13" t="s">
        <v>191</v>
      </c>
      <c r="B160" s="13" t="s">
        <v>447</v>
      </c>
      <c r="C160" s="13">
        <v>2022</v>
      </c>
      <c r="D160" s="13"/>
      <c r="E160" s="13" t="s">
        <v>395</v>
      </c>
      <c r="F160" s="72">
        <v>2721000000</v>
      </c>
      <c r="G160" s="13" t="s">
        <v>129</v>
      </c>
      <c r="H160" s="13"/>
      <c r="I160" s="13" t="s">
        <v>386</v>
      </c>
      <c r="J160" s="13" t="s">
        <v>387</v>
      </c>
      <c r="K160" s="13" t="s">
        <v>310</v>
      </c>
      <c r="L160" s="13"/>
      <c r="M160" s="72">
        <v>2721000000</v>
      </c>
      <c r="N160" s="13" t="s">
        <v>387</v>
      </c>
      <c r="O160" s="13">
        <v>1</v>
      </c>
      <c r="P160" s="13"/>
      <c r="Q160" s="73" t="s">
        <v>388</v>
      </c>
    </row>
    <row r="161" spans="1:17" x14ac:dyDescent="0.3">
      <c r="A161" s="13" t="s">
        <v>191</v>
      </c>
      <c r="B161" s="13" t="s">
        <v>447</v>
      </c>
      <c r="C161" s="13">
        <v>2023</v>
      </c>
      <c r="D161" s="13"/>
      <c r="E161" s="13" t="s">
        <v>400</v>
      </c>
      <c r="F161" s="72">
        <v>2646000000</v>
      </c>
      <c r="G161" s="13" t="s">
        <v>129</v>
      </c>
      <c r="H161" s="13"/>
      <c r="I161" s="13" t="s">
        <v>391</v>
      </c>
      <c r="J161" s="13" t="s">
        <v>392</v>
      </c>
      <c r="K161" s="13" t="s">
        <v>310</v>
      </c>
      <c r="L161" s="13"/>
      <c r="M161" s="72">
        <v>2646000000</v>
      </c>
      <c r="N161" s="13" t="s">
        <v>392</v>
      </c>
      <c r="O161" s="13">
        <v>1</v>
      </c>
      <c r="P161" s="13"/>
      <c r="Q161" s="73" t="s">
        <v>393</v>
      </c>
    </row>
    <row r="162" spans="1:17" x14ac:dyDescent="0.3">
      <c r="A162" s="13" t="s">
        <v>191</v>
      </c>
      <c r="B162" s="13" t="s">
        <v>447</v>
      </c>
      <c r="C162" s="13">
        <v>2024</v>
      </c>
      <c r="D162" s="13"/>
      <c r="E162" s="13" t="s">
        <v>403</v>
      </c>
      <c r="F162" s="72">
        <v>2554000000</v>
      </c>
      <c r="G162" s="13" t="s">
        <v>129</v>
      </c>
      <c r="H162" s="13"/>
      <c r="I162" s="13" t="s">
        <v>396</v>
      </c>
      <c r="J162" s="13" t="s">
        <v>397</v>
      </c>
      <c r="K162" s="13" t="s">
        <v>310</v>
      </c>
      <c r="L162" s="13"/>
      <c r="M162" s="72">
        <v>2554000000</v>
      </c>
      <c r="N162" s="13" t="s">
        <v>397</v>
      </c>
      <c r="O162" s="13">
        <v>1</v>
      </c>
      <c r="P162" s="13"/>
      <c r="Q162" s="73" t="s">
        <v>398</v>
      </c>
    </row>
    <row r="163" spans="1:17" x14ac:dyDescent="0.3">
      <c r="A163" s="13" t="s">
        <v>191</v>
      </c>
      <c r="B163" s="13" t="s">
        <v>447</v>
      </c>
      <c r="C163" s="13">
        <v>2025</v>
      </c>
      <c r="D163" s="13"/>
      <c r="E163" s="13" t="s">
        <v>405</v>
      </c>
      <c r="F163" s="72">
        <v>2668000000</v>
      </c>
      <c r="G163" s="13" t="s">
        <v>129</v>
      </c>
      <c r="H163" s="13"/>
      <c r="I163" s="13" t="s">
        <v>180</v>
      </c>
      <c r="J163" s="13" t="s">
        <v>181</v>
      </c>
      <c r="K163" s="13" t="s">
        <v>310</v>
      </c>
      <c r="L163" s="13"/>
      <c r="M163" s="72">
        <v>2668000000</v>
      </c>
      <c r="N163" s="13" t="s">
        <v>181</v>
      </c>
      <c r="O163" s="13">
        <v>1</v>
      </c>
      <c r="P163" s="13"/>
      <c r="Q163" s="73" t="s">
        <v>401</v>
      </c>
    </row>
    <row r="164" spans="1:17" x14ac:dyDescent="0.3">
      <c r="A164" s="13" t="s">
        <v>191</v>
      </c>
      <c r="B164" s="13" t="s">
        <v>448</v>
      </c>
      <c r="C164" s="13">
        <v>2015</v>
      </c>
      <c r="D164" s="13"/>
      <c r="E164" s="13" t="s">
        <v>360</v>
      </c>
      <c r="F164" s="72">
        <v>33017000000</v>
      </c>
      <c r="G164" s="13" t="s">
        <v>96</v>
      </c>
      <c r="H164" s="13"/>
      <c r="I164" s="13" t="s">
        <v>362</v>
      </c>
      <c r="J164" s="13" t="s">
        <v>363</v>
      </c>
      <c r="K164" s="13" t="s">
        <v>310</v>
      </c>
      <c r="L164" s="13" t="s">
        <v>408</v>
      </c>
      <c r="M164" s="72">
        <v>33440000000</v>
      </c>
      <c r="N164" s="13" t="s">
        <v>364</v>
      </c>
      <c r="O164" s="13">
        <v>3</v>
      </c>
      <c r="P164" s="13"/>
      <c r="Q164" s="73" t="s">
        <v>365</v>
      </c>
    </row>
    <row r="165" spans="1:17" x14ac:dyDescent="0.3">
      <c r="A165" s="13" t="s">
        <v>191</v>
      </c>
      <c r="B165" s="13" t="s">
        <v>448</v>
      </c>
      <c r="C165" s="13">
        <v>2016</v>
      </c>
      <c r="D165" s="13"/>
      <c r="E165" s="13" t="s">
        <v>367</v>
      </c>
      <c r="F165" s="72">
        <v>33163000000</v>
      </c>
      <c r="G165" s="13" t="s">
        <v>96</v>
      </c>
      <c r="H165" s="13"/>
      <c r="I165" s="13" t="s">
        <v>369</v>
      </c>
      <c r="J165" s="13" t="s">
        <v>370</v>
      </c>
      <c r="K165" s="13" t="s">
        <v>310</v>
      </c>
      <c r="L165" s="13"/>
      <c r="M165" s="72">
        <v>33163000000</v>
      </c>
      <c r="N165" s="13" t="s">
        <v>407</v>
      </c>
      <c r="O165" s="13">
        <v>3</v>
      </c>
      <c r="P165" s="13"/>
      <c r="Q165" s="73" t="s">
        <v>371</v>
      </c>
    </row>
    <row r="166" spans="1:17" x14ac:dyDescent="0.3">
      <c r="A166" s="13" t="s">
        <v>191</v>
      </c>
      <c r="B166" s="13" t="s">
        <v>448</v>
      </c>
      <c r="C166" s="13">
        <v>2017</v>
      </c>
      <c r="D166" s="13"/>
      <c r="E166" s="13" t="s">
        <v>373</v>
      </c>
      <c r="F166" s="72">
        <v>36347000000</v>
      </c>
      <c r="G166" s="13" t="s">
        <v>96</v>
      </c>
      <c r="H166" s="13"/>
      <c r="I166" s="13" t="s">
        <v>369</v>
      </c>
      <c r="J166" s="13" t="s">
        <v>370</v>
      </c>
      <c r="K166" s="13" t="s">
        <v>310</v>
      </c>
      <c r="L166" s="13"/>
      <c r="M166" s="72">
        <v>36347000000</v>
      </c>
      <c r="N166" s="13" t="s">
        <v>363</v>
      </c>
      <c r="O166" s="13">
        <v>2</v>
      </c>
      <c r="P166" s="13"/>
      <c r="Q166" s="73" t="s">
        <v>371</v>
      </c>
    </row>
    <row r="167" spans="1:17" x14ac:dyDescent="0.3">
      <c r="A167" s="13" t="s">
        <v>191</v>
      </c>
      <c r="B167" s="13" t="s">
        <v>448</v>
      </c>
      <c r="C167" s="13">
        <v>2018</v>
      </c>
      <c r="D167" s="13"/>
      <c r="E167" s="13" t="s">
        <v>375</v>
      </c>
      <c r="F167" s="72">
        <v>40830000000</v>
      </c>
      <c r="G167" s="13" t="s">
        <v>96</v>
      </c>
      <c r="H167" s="13"/>
      <c r="I167" s="13" t="s">
        <v>376</v>
      </c>
      <c r="J167" s="13" t="s">
        <v>377</v>
      </c>
      <c r="K167" s="13" t="s">
        <v>310</v>
      </c>
      <c r="L167" s="13"/>
      <c r="M167" s="72">
        <v>40830000000</v>
      </c>
      <c r="N167" s="13" t="s">
        <v>370</v>
      </c>
      <c r="O167" s="13">
        <v>2</v>
      </c>
      <c r="P167" s="13"/>
      <c r="Q167" s="73" t="s">
        <v>378</v>
      </c>
    </row>
    <row r="168" spans="1:17" x14ac:dyDescent="0.3">
      <c r="A168" s="13" t="s">
        <v>191</v>
      </c>
      <c r="B168" s="13" t="s">
        <v>448</v>
      </c>
      <c r="C168" s="13">
        <v>2019</v>
      </c>
      <c r="D168" s="13"/>
      <c r="E168" s="13" t="s">
        <v>380</v>
      </c>
      <c r="F168" s="72">
        <v>45400000000</v>
      </c>
      <c r="G168" s="13" t="s">
        <v>96</v>
      </c>
      <c r="H168" s="13"/>
      <c r="I168" s="13" t="s">
        <v>381</v>
      </c>
      <c r="J168" s="13" t="s">
        <v>382</v>
      </c>
      <c r="K168" s="13" t="s">
        <v>310</v>
      </c>
      <c r="L168" s="13"/>
      <c r="M168" s="72">
        <v>45400000000</v>
      </c>
      <c r="N168" s="13" t="s">
        <v>377</v>
      </c>
      <c r="O168" s="13">
        <v>2</v>
      </c>
      <c r="P168" s="13"/>
      <c r="Q168" s="73" t="s">
        <v>383</v>
      </c>
    </row>
    <row r="169" spans="1:17" x14ac:dyDescent="0.3">
      <c r="A169" s="13" t="s">
        <v>191</v>
      </c>
      <c r="B169" s="13" t="s">
        <v>448</v>
      </c>
      <c r="C169" s="13">
        <v>2020</v>
      </c>
      <c r="D169" s="13"/>
      <c r="E169" s="13" t="s">
        <v>385</v>
      </c>
      <c r="F169" s="72">
        <v>55556000000</v>
      </c>
      <c r="G169" s="13" t="s">
        <v>96</v>
      </c>
      <c r="H169" s="13"/>
      <c r="I169" s="13" t="s">
        <v>386</v>
      </c>
      <c r="J169" s="13" t="s">
        <v>387</v>
      </c>
      <c r="K169" s="13" t="s">
        <v>310</v>
      </c>
      <c r="L169" s="13"/>
      <c r="M169" s="72">
        <v>55556000000</v>
      </c>
      <c r="N169" s="13" t="s">
        <v>377</v>
      </c>
      <c r="O169" s="13">
        <v>3</v>
      </c>
      <c r="P169" s="13"/>
      <c r="Q169" s="73" t="s">
        <v>388</v>
      </c>
    </row>
    <row r="170" spans="1:17" x14ac:dyDescent="0.3">
      <c r="A170" s="13" t="s">
        <v>191</v>
      </c>
      <c r="B170" s="13" t="s">
        <v>448</v>
      </c>
      <c r="C170" s="13">
        <v>2021</v>
      </c>
      <c r="D170" s="13"/>
      <c r="E170" s="13" t="s">
        <v>390</v>
      </c>
      <c r="F170" s="72">
        <v>59268000000</v>
      </c>
      <c r="G170" s="13" t="s">
        <v>96</v>
      </c>
      <c r="H170" s="13"/>
      <c r="I170" s="13" t="s">
        <v>391</v>
      </c>
      <c r="J170" s="13" t="s">
        <v>392</v>
      </c>
      <c r="K170" s="13" t="s">
        <v>310</v>
      </c>
      <c r="L170" s="13"/>
      <c r="M170" s="72">
        <v>59268000000</v>
      </c>
      <c r="N170" s="13" t="s">
        <v>382</v>
      </c>
      <c r="O170" s="13">
        <v>3</v>
      </c>
      <c r="P170" s="13"/>
      <c r="Q170" s="73" t="s">
        <v>393</v>
      </c>
    </row>
    <row r="171" spans="1:17" x14ac:dyDescent="0.3">
      <c r="A171" s="13" t="s">
        <v>191</v>
      </c>
      <c r="B171" s="13" t="s">
        <v>448</v>
      </c>
      <c r="C171" s="13">
        <v>2022</v>
      </c>
      <c r="D171" s="13"/>
      <c r="E171" s="13" t="s">
        <v>395</v>
      </c>
      <c r="F171" s="72">
        <v>64166000000</v>
      </c>
      <c r="G171" s="13" t="s">
        <v>96</v>
      </c>
      <c r="H171" s="13"/>
      <c r="I171" s="13" t="s">
        <v>396</v>
      </c>
      <c r="J171" s="13" t="s">
        <v>397</v>
      </c>
      <c r="K171" s="13" t="s">
        <v>310</v>
      </c>
      <c r="L171" s="13"/>
      <c r="M171" s="72">
        <v>64166000000</v>
      </c>
      <c r="N171" s="13" t="s">
        <v>387</v>
      </c>
      <c r="O171" s="13">
        <v>3</v>
      </c>
      <c r="P171" s="13"/>
      <c r="Q171" s="73" t="s">
        <v>398</v>
      </c>
    </row>
    <row r="172" spans="1:17" x14ac:dyDescent="0.3">
      <c r="A172" s="13" t="s">
        <v>191</v>
      </c>
      <c r="B172" s="13" t="s">
        <v>448</v>
      </c>
      <c r="C172" s="13">
        <v>2023</v>
      </c>
      <c r="D172" s="13"/>
      <c r="E172" s="13" t="s">
        <v>400</v>
      </c>
      <c r="F172" s="72">
        <v>68994000000</v>
      </c>
      <c r="G172" s="13" t="s">
        <v>96</v>
      </c>
      <c r="H172" s="13"/>
      <c r="I172" s="13" t="s">
        <v>180</v>
      </c>
      <c r="J172" s="13" t="s">
        <v>181</v>
      </c>
      <c r="K172" s="13" t="s">
        <v>310</v>
      </c>
      <c r="L172" s="13"/>
      <c r="M172" s="72">
        <v>68994000000</v>
      </c>
      <c r="N172" s="13" t="s">
        <v>392</v>
      </c>
      <c r="O172" s="13">
        <v>3</v>
      </c>
      <c r="P172" s="13"/>
      <c r="Q172" s="73" t="s">
        <v>401</v>
      </c>
    </row>
    <row r="173" spans="1:17" x14ac:dyDescent="0.3">
      <c r="A173" s="13" t="s">
        <v>191</v>
      </c>
      <c r="B173" s="13" t="s">
        <v>448</v>
      </c>
      <c r="C173" s="13">
        <v>2024</v>
      </c>
      <c r="D173" s="13"/>
      <c r="E173" s="13" t="s">
        <v>403</v>
      </c>
      <c r="F173" s="72">
        <v>69831000000</v>
      </c>
      <c r="G173" s="13" t="s">
        <v>96</v>
      </c>
      <c r="H173" s="13"/>
      <c r="I173" s="13" t="s">
        <v>180</v>
      </c>
      <c r="J173" s="13" t="s">
        <v>181</v>
      </c>
      <c r="K173" s="13" t="s">
        <v>310</v>
      </c>
      <c r="L173" s="13"/>
      <c r="M173" s="72">
        <v>69831000000</v>
      </c>
      <c r="N173" s="13" t="s">
        <v>397</v>
      </c>
      <c r="O173" s="13">
        <v>2</v>
      </c>
      <c r="P173" s="13"/>
      <c r="Q173" s="73" t="s">
        <v>401</v>
      </c>
    </row>
    <row r="174" spans="1:17" x14ac:dyDescent="0.3">
      <c r="A174" s="13" t="s">
        <v>191</v>
      </c>
      <c r="B174" s="13" t="s">
        <v>448</v>
      </c>
      <c r="C174" s="13">
        <v>2025</v>
      </c>
      <c r="D174" s="13"/>
      <c r="E174" s="13" t="s">
        <v>405</v>
      </c>
      <c r="F174" s="72">
        <v>77099000000</v>
      </c>
      <c r="G174" s="13" t="s">
        <v>96</v>
      </c>
      <c r="H174" s="13"/>
      <c r="I174" s="13" t="s">
        <v>180</v>
      </c>
      <c r="J174" s="13" t="s">
        <v>181</v>
      </c>
      <c r="K174" s="13" t="s">
        <v>310</v>
      </c>
      <c r="L174" s="13"/>
      <c r="M174" s="72">
        <v>77099000000</v>
      </c>
      <c r="N174" s="13" t="s">
        <v>181</v>
      </c>
      <c r="O174" s="13">
        <v>1</v>
      </c>
      <c r="P174" s="13"/>
      <c r="Q174" s="73" t="s">
        <v>401</v>
      </c>
    </row>
    <row r="175" spans="1:17" x14ac:dyDescent="0.3">
      <c r="A175" s="13" t="s">
        <v>191</v>
      </c>
      <c r="B175" s="13" t="s">
        <v>70</v>
      </c>
      <c r="C175" s="13">
        <v>2015</v>
      </c>
      <c r="D175" s="13"/>
      <c r="E175" s="13" t="s">
        <v>360</v>
      </c>
      <c r="F175" s="72">
        <v>10843000000</v>
      </c>
      <c r="G175" s="13" t="s">
        <v>71</v>
      </c>
      <c r="H175" s="13"/>
      <c r="I175" s="13" t="s">
        <v>369</v>
      </c>
      <c r="J175" s="13" t="s">
        <v>370</v>
      </c>
      <c r="K175" s="13" t="s">
        <v>310</v>
      </c>
      <c r="L175" s="13"/>
      <c r="M175" s="72">
        <v>10843000000</v>
      </c>
      <c r="N175" s="13" t="s">
        <v>364</v>
      </c>
      <c r="O175" s="13">
        <v>4</v>
      </c>
      <c r="P175" s="13"/>
      <c r="Q175" s="73" t="s">
        <v>371</v>
      </c>
    </row>
    <row r="176" spans="1:17" x14ac:dyDescent="0.3">
      <c r="A176" s="13" t="s">
        <v>191</v>
      </c>
      <c r="B176" s="13" t="s">
        <v>70</v>
      </c>
      <c r="C176" s="13">
        <v>2016</v>
      </c>
      <c r="D176" s="13"/>
      <c r="E176" s="13" t="s">
        <v>367</v>
      </c>
      <c r="F176" s="72">
        <v>12332000000</v>
      </c>
      <c r="G176" s="13" t="s">
        <v>71</v>
      </c>
      <c r="H176" s="13"/>
      <c r="I176" s="13" t="s">
        <v>369</v>
      </c>
      <c r="J176" s="13" t="s">
        <v>370</v>
      </c>
      <c r="K176" s="13" t="s">
        <v>310</v>
      </c>
      <c r="L176" s="13"/>
      <c r="M176" s="72">
        <v>12332000000</v>
      </c>
      <c r="N176" s="13" t="s">
        <v>407</v>
      </c>
      <c r="O176" s="13">
        <v>3</v>
      </c>
      <c r="P176" s="13"/>
      <c r="Q176" s="73" t="s">
        <v>371</v>
      </c>
    </row>
    <row r="177" spans="1:17" x14ac:dyDescent="0.3">
      <c r="A177" s="13" t="s">
        <v>191</v>
      </c>
      <c r="B177" s="13" t="s">
        <v>70</v>
      </c>
      <c r="C177" s="13">
        <v>2017</v>
      </c>
      <c r="D177" s="13"/>
      <c r="E177" s="13" t="s">
        <v>373</v>
      </c>
      <c r="F177" s="72">
        <v>11079000000</v>
      </c>
      <c r="G177" s="13" t="s">
        <v>71</v>
      </c>
      <c r="H177" s="13"/>
      <c r="I177" s="13" t="s">
        <v>376</v>
      </c>
      <c r="J177" s="13" t="s">
        <v>377</v>
      </c>
      <c r="K177" s="13" t="s">
        <v>310</v>
      </c>
      <c r="L177" s="13"/>
      <c r="M177" s="72">
        <v>11079000000</v>
      </c>
      <c r="N177" s="13" t="s">
        <v>363</v>
      </c>
      <c r="O177" s="13">
        <v>3</v>
      </c>
      <c r="P177" s="13"/>
      <c r="Q177" s="73" t="s">
        <v>378</v>
      </c>
    </row>
    <row r="178" spans="1:17" x14ac:dyDescent="0.3">
      <c r="A178" s="13" t="s">
        <v>191</v>
      </c>
      <c r="B178" s="13" t="s">
        <v>70</v>
      </c>
      <c r="C178" s="13">
        <v>2018</v>
      </c>
      <c r="D178" s="13"/>
      <c r="E178" s="13" t="s">
        <v>375</v>
      </c>
      <c r="F178" s="72">
        <v>13103000000</v>
      </c>
      <c r="G178" s="13" t="s">
        <v>71</v>
      </c>
      <c r="H178" s="13"/>
      <c r="I178" s="13" t="s">
        <v>381</v>
      </c>
      <c r="J178" s="13" t="s">
        <v>382</v>
      </c>
      <c r="K178" s="13" t="s">
        <v>310</v>
      </c>
      <c r="L178" s="13"/>
      <c r="M178" s="72">
        <v>13103000000</v>
      </c>
      <c r="N178" s="13" t="s">
        <v>370</v>
      </c>
      <c r="O178" s="13">
        <v>3</v>
      </c>
      <c r="P178" s="13"/>
      <c r="Q178" s="73" t="s">
        <v>383</v>
      </c>
    </row>
    <row r="179" spans="1:17" x14ac:dyDescent="0.3">
      <c r="A179" s="13" t="s">
        <v>191</v>
      </c>
      <c r="B179" s="13" t="s">
        <v>70</v>
      </c>
      <c r="C179" s="13">
        <v>2019</v>
      </c>
      <c r="D179" s="13"/>
      <c r="E179" s="13" t="s">
        <v>380</v>
      </c>
      <c r="F179" s="72">
        <v>15584000000</v>
      </c>
      <c r="G179" s="13" t="s">
        <v>71</v>
      </c>
      <c r="H179" s="13"/>
      <c r="I179" s="13" t="s">
        <v>386</v>
      </c>
      <c r="J179" s="13" t="s">
        <v>387</v>
      </c>
      <c r="K179" s="13" t="s">
        <v>310</v>
      </c>
      <c r="L179" s="13"/>
      <c r="M179" s="72">
        <v>15584000000</v>
      </c>
      <c r="N179" s="13" t="s">
        <v>377</v>
      </c>
      <c r="O179" s="13">
        <v>3</v>
      </c>
      <c r="P179" s="13"/>
      <c r="Q179" s="73" t="s">
        <v>388</v>
      </c>
    </row>
    <row r="180" spans="1:17" x14ac:dyDescent="0.3">
      <c r="A180" s="13" t="s">
        <v>191</v>
      </c>
      <c r="B180" s="13" t="s">
        <v>70</v>
      </c>
      <c r="C180" s="13">
        <v>2020</v>
      </c>
      <c r="D180" s="13"/>
      <c r="E180" s="13" t="s">
        <v>385</v>
      </c>
      <c r="F180" s="72">
        <v>18705000000</v>
      </c>
      <c r="G180" s="13" t="s">
        <v>71</v>
      </c>
      <c r="H180" s="13"/>
      <c r="I180" s="13" t="s">
        <v>391</v>
      </c>
      <c r="J180" s="13" t="s">
        <v>392</v>
      </c>
      <c r="K180" s="13" t="s">
        <v>310</v>
      </c>
      <c r="L180" s="13"/>
      <c r="M180" s="72">
        <v>18705000000</v>
      </c>
      <c r="N180" s="13" t="s">
        <v>377</v>
      </c>
      <c r="O180" s="13">
        <v>4</v>
      </c>
      <c r="P180" s="13"/>
      <c r="Q180" s="73" t="s">
        <v>393</v>
      </c>
    </row>
    <row r="181" spans="1:17" x14ac:dyDescent="0.3">
      <c r="A181" s="13" t="s">
        <v>191</v>
      </c>
      <c r="B181" s="13" t="s">
        <v>70</v>
      </c>
      <c r="C181" s="13">
        <v>2021</v>
      </c>
      <c r="D181" s="13"/>
      <c r="E181" s="13" t="s">
        <v>390</v>
      </c>
      <c r="F181" s="72">
        <v>18078000000</v>
      </c>
      <c r="G181" s="13" t="s">
        <v>71</v>
      </c>
      <c r="H181" s="13"/>
      <c r="I181" s="13" t="s">
        <v>396</v>
      </c>
      <c r="J181" s="13" t="s">
        <v>397</v>
      </c>
      <c r="K181" s="13" t="s">
        <v>310</v>
      </c>
      <c r="L181" s="13"/>
      <c r="M181" s="72">
        <v>18078000000</v>
      </c>
      <c r="N181" s="13" t="s">
        <v>382</v>
      </c>
      <c r="O181" s="13">
        <v>4</v>
      </c>
      <c r="P181" s="13"/>
      <c r="Q181" s="73" t="s">
        <v>398</v>
      </c>
    </row>
    <row r="182" spans="1:17" x14ac:dyDescent="0.3">
      <c r="A182" s="13" t="s">
        <v>191</v>
      </c>
      <c r="B182" s="13" t="s">
        <v>70</v>
      </c>
      <c r="C182" s="13">
        <v>2022</v>
      </c>
      <c r="D182" s="13"/>
      <c r="E182" s="13" t="s">
        <v>395</v>
      </c>
      <c r="F182" s="72">
        <v>20647000000</v>
      </c>
      <c r="G182" s="13" t="s">
        <v>71</v>
      </c>
      <c r="H182" s="13"/>
      <c r="I182" s="13" t="s">
        <v>180</v>
      </c>
      <c r="J182" s="13" t="s">
        <v>181</v>
      </c>
      <c r="K182" s="13" t="s">
        <v>310</v>
      </c>
      <c r="L182" s="13"/>
      <c r="M182" s="72">
        <v>20647000000</v>
      </c>
      <c r="N182" s="13" t="s">
        <v>387</v>
      </c>
      <c r="O182" s="13">
        <v>4</v>
      </c>
      <c r="P182" s="13"/>
      <c r="Q182" s="73" t="s">
        <v>401</v>
      </c>
    </row>
    <row r="183" spans="1:17" x14ac:dyDescent="0.3">
      <c r="A183" s="13" t="s">
        <v>191</v>
      </c>
      <c r="B183" s="13" t="s">
        <v>70</v>
      </c>
      <c r="C183" s="13">
        <v>2023</v>
      </c>
      <c r="D183" s="13"/>
      <c r="E183" s="13" t="s">
        <v>400</v>
      </c>
      <c r="F183" s="72">
        <v>25058000000</v>
      </c>
      <c r="G183" s="13" t="s">
        <v>71</v>
      </c>
      <c r="H183" s="13"/>
      <c r="I183" s="13" t="s">
        <v>180</v>
      </c>
      <c r="J183" s="13" t="s">
        <v>181</v>
      </c>
      <c r="K183" s="13" t="s">
        <v>310</v>
      </c>
      <c r="L183" s="13"/>
      <c r="M183" s="72">
        <v>25058000000</v>
      </c>
      <c r="N183" s="13" t="s">
        <v>392</v>
      </c>
      <c r="O183" s="13">
        <v>3</v>
      </c>
      <c r="P183" s="13"/>
      <c r="Q183" s="73" t="s">
        <v>401</v>
      </c>
    </row>
    <row r="184" spans="1:17" x14ac:dyDescent="0.3">
      <c r="A184" s="13" t="s">
        <v>191</v>
      </c>
      <c r="B184" s="13" t="s">
        <v>70</v>
      </c>
      <c r="C184" s="13">
        <v>2024</v>
      </c>
      <c r="D184" s="13"/>
      <c r="E184" s="13" t="s">
        <v>403</v>
      </c>
      <c r="F184" s="72">
        <v>23622000000</v>
      </c>
      <c r="G184" s="13" t="s">
        <v>71</v>
      </c>
      <c r="H184" s="13"/>
      <c r="I184" s="13" t="s">
        <v>180</v>
      </c>
      <c r="J184" s="13" t="s">
        <v>181</v>
      </c>
      <c r="K184" s="13" t="s">
        <v>310</v>
      </c>
      <c r="L184" s="13"/>
      <c r="M184" s="72">
        <v>23622000000</v>
      </c>
      <c r="N184" s="13" t="s">
        <v>397</v>
      </c>
      <c r="O184" s="13">
        <v>2</v>
      </c>
      <c r="P184" s="13"/>
      <c r="Q184" s="73" t="s">
        <v>401</v>
      </c>
    </row>
    <row r="185" spans="1:17" x14ac:dyDescent="0.3">
      <c r="A185" s="13" t="s">
        <v>191</v>
      </c>
      <c r="B185" s="13" t="s">
        <v>70</v>
      </c>
      <c r="C185" s="13">
        <v>2025</v>
      </c>
      <c r="D185" s="13"/>
      <c r="E185" s="13" t="s">
        <v>405</v>
      </c>
      <c r="F185" s="72">
        <v>29164000000</v>
      </c>
      <c r="G185" s="13" t="s">
        <v>71</v>
      </c>
      <c r="H185" s="13"/>
      <c r="I185" s="13" t="s">
        <v>180</v>
      </c>
      <c r="J185" s="13" t="s">
        <v>181</v>
      </c>
      <c r="K185" s="13" t="s">
        <v>310</v>
      </c>
      <c r="L185" s="13"/>
      <c r="M185" s="72">
        <v>29164000000</v>
      </c>
      <c r="N185" s="13" t="s">
        <v>181</v>
      </c>
      <c r="O185" s="13">
        <v>1</v>
      </c>
      <c r="P185" s="13"/>
      <c r="Q185" s="73" t="s">
        <v>401</v>
      </c>
    </row>
    <row r="186" spans="1:17" x14ac:dyDescent="0.3">
      <c r="A186" s="13" t="s">
        <v>191</v>
      </c>
      <c r="B186" s="13" t="s">
        <v>449</v>
      </c>
      <c r="C186" s="13">
        <v>2015</v>
      </c>
      <c r="D186" s="13" t="s">
        <v>359</v>
      </c>
      <c r="E186" s="13" t="s">
        <v>360</v>
      </c>
      <c r="F186" s="72">
        <v>116199000000</v>
      </c>
      <c r="G186" s="13" t="s">
        <v>450</v>
      </c>
      <c r="H186" s="13"/>
      <c r="I186" s="13" t="s">
        <v>362</v>
      </c>
      <c r="J186" s="13" t="s">
        <v>363</v>
      </c>
      <c r="K186" s="13" t="s">
        <v>310</v>
      </c>
      <c r="L186" s="13"/>
      <c r="M186" s="72">
        <v>116199000000</v>
      </c>
      <c r="N186" s="13" t="s">
        <v>364</v>
      </c>
      <c r="O186" s="13">
        <v>3</v>
      </c>
      <c r="P186" s="13"/>
      <c r="Q186" s="73" t="s">
        <v>365</v>
      </c>
    </row>
    <row r="187" spans="1:17" x14ac:dyDescent="0.3">
      <c r="A187" s="13" t="s">
        <v>191</v>
      </c>
      <c r="B187" s="13" t="s">
        <v>449</v>
      </c>
      <c r="C187" s="13">
        <v>2016</v>
      </c>
      <c r="D187" s="13" t="s">
        <v>366</v>
      </c>
      <c r="E187" s="13" t="s">
        <v>367</v>
      </c>
      <c r="F187" s="72">
        <v>118719000000</v>
      </c>
      <c r="G187" s="13" t="s">
        <v>451</v>
      </c>
      <c r="H187" s="13"/>
      <c r="I187" s="13" t="s">
        <v>369</v>
      </c>
      <c r="J187" s="13" t="s">
        <v>370</v>
      </c>
      <c r="K187" s="13" t="s">
        <v>310</v>
      </c>
      <c r="L187" s="13"/>
      <c r="M187" s="72">
        <v>118719000000</v>
      </c>
      <c r="N187" s="13" t="s">
        <v>370</v>
      </c>
      <c r="O187" s="13">
        <v>1</v>
      </c>
      <c r="P187" s="13"/>
      <c r="Q187" s="73" t="s">
        <v>371</v>
      </c>
    </row>
    <row r="188" spans="1:17" x14ac:dyDescent="0.3">
      <c r="A188" s="13" t="s">
        <v>191</v>
      </c>
      <c r="B188" s="13" t="s">
        <v>449</v>
      </c>
      <c r="C188" s="13">
        <v>2017</v>
      </c>
      <c r="D188" s="13" t="s">
        <v>372</v>
      </c>
      <c r="E188" s="13" t="s">
        <v>373</v>
      </c>
      <c r="F188" s="72">
        <v>129025000000</v>
      </c>
      <c r="G188" s="13" t="s">
        <v>451</v>
      </c>
      <c r="H188" s="13"/>
      <c r="I188" s="13" t="s">
        <v>369</v>
      </c>
      <c r="J188" s="13" t="s">
        <v>370</v>
      </c>
      <c r="K188" s="13" t="s">
        <v>310</v>
      </c>
      <c r="L188" s="13"/>
      <c r="M188" s="72">
        <v>129025000000</v>
      </c>
      <c r="N188" s="13" t="s">
        <v>370</v>
      </c>
      <c r="O188" s="13">
        <v>1</v>
      </c>
      <c r="P188" s="13"/>
      <c r="Q188" s="73" t="s">
        <v>371</v>
      </c>
    </row>
    <row r="189" spans="1:17" x14ac:dyDescent="0.3">
      <c r="A189" s="13" t="s">
        <v>191</v>
      </c>
      <c r="B189" s="13" t="s">
        <v>449</v>
      </c>
      <c r="C189" s="13">
        <v>2018</v>
      </c>
      <c r="D189" s="13" t="s">
        <v>374</v>
      </c>
      <c r="E189" s="13" t="s">
        <v>375</v>
      </c>
      <c r="F189" s="72">
        <v>141576000000</v>
      </c>
      <c r="G189" s="13" t="s">
        <v>451</v>
      </c>
      <c r="H189" s="13"/>
      <c r="I189" s="13" t="s">
        <v>376</v>
      </c>
      <c r="J189" s="13" t="s">
        <v>377</v>
      </c>
      <c r="K189" s="13" t="s">
        <v>310</v>
      </c>
      <c r="L189" s="13"/>
      <c r="M189" s="72">
        <v>141576000000</v>
      </c>
      <c r="N189" s="13" t="s">
        <v>370</v>
      </c>
      <c r="O189" s="13">
        <v>2</v>
      </c>
      <c r="P189" s="13"/>
      <c r="Q189" s="73" t="s">
        <v>378</v>
      </c>
    </row>
    <row r="190" spans="1:17" x14ac:dyDescent="0.3">
      <c r="A190" s="13" t="s">
        <v>191</v>
      </c>
      <c r="B190" s="13" t="s">
        <v>449</v>
      </c>
      <c r="C190" s="13">
        <v>2019</v>
      </c>
      <c r="D190" s="13" t="s">
        <v>379</v>
      </c>
      <c r="E190" s="13" t="s">
        <v>380</v>
      </c>
      <c r="F190" s="72">
        <v>152703000000</v>
      </c>
      <c r="G190" s="13" t="s">
        <v>451</v>
      </c>
      <c r="H190" s="13"/>
      <c r="I190" s="13" t="s">
        <v>381</v>
      </c>
      <c r="J190" s="13" t="s">
        <v>382</v>
      </c>
      <c r="K190" s="13" t="s">
        <v>310</v>
      </c>
      <c r="L190" s="13"/>
      <c r="M190" s="72">
        <v>152703000000</v>
      </c>
      <c r="N190" s="13" t="s">
        <v>377</v>
      </c>
      <c r="O190" s="13">
        <v>2</v>
      </c>
      <c r="P190" s="13"/>
      <c r="Q190" s="73" t="s">
        <v>383</v>
      </c>
    </row>
    <row r="191" spans="1:17" x14ac:dyDescent="0.3">
      <c r="A191" s="13" t="s">
        <v>191</v>
      </c>
      <c r="B191" s="13" t="s">
        <v>449</v>
      </c>
      <c r="C191" s="13">
        <v>2020</v>
      </c>
      <c r="D191" s="13" t="s">
        <v>384</v>
      </c>
      <c r="E191" s="13" t="s">
        <v>385</v>
      </c>
      <c r="F191" s="72">
        <v>166761000000</v>
      </c>
      <c r="G191" s="13" t="s">
        <v>451</v>
      </c>
      <c r="H191" s="13"/>
      <c r="I191" s="13" t="s">
        <v>386</v>
      </c>
      <c r="J191" s="13" t="s">
        <v>387</v>
      </c>
      <c r="K191" s="13" t="s">
        <v>310</v>
      </c>
      <c r="L191" s="13"/>
      <c r="M191" s="72">
        <v>166761000000</v>
      </c>
      <c r="N191" s="13" t="s">
        <v>377</v>
      </c>
      <c r="O191" s="13">
        <v>3</v>
      </c>
      <c r="P191" s="13"/>
      <c r="Q191" s="73" t="s">
        <v>388</v>
      </c>
    </row>
    <row r="192" spans="1:17" x14ac:dyDescent="0.3">
      <c r="A192" s="13" t="s">
        <v>191</v>
      </c>
      <c r="B192" s="13" t="s">
        <v>449</v>
      </c>
      <c r="C192" s="13">
        <v>2021</v>
      </c>
      <c r="D192" s="13" t="s">
        <v>389</v>
      </c>
      <c r="E192" s="13" t="s">
        <v>390</v>
      </c>
      <c r="F192" s="72">
        <v>195929000000</v>
      </c>
      <c r="G192" s="13" t="s">
        <v>451</v>
      </c>
      <c r="H192" s="13"/>
      <c r="I192" s="13" t="s">
        <v>391</v>
      </c>
      <c r="J192" s="13" t="s">
        <v>392</v>
      </c>
      <c r="K192" s="13" t="s">
        <v>310</v>
      </c>
      <c r="L192" s="13"/>
      <c r="M192" s="72">
        <v>195929000000</v>
      </c>
      <c r="N192" s="13" t="s">
        <v>382</v>
      </c>
      <c r="O192" s="13">
        <v>3</v>
      </c>
      <c r="P192" s="13"/>
      <c r="Q192" s="73" t="s">
        <v>393</v>
      </c>
    </row>
    <row r="193" spans="1:17" x14ac:dyDescent="0.3">
      <c r="A193" s="13" t="s">
        <v>191</v>
      </c>
      <c r="B193" s="13" t="s">
        <v>449</v>
      </c>
      <c r="C193" s="13">
        <v>2022</v>
      </c>
      <c r="D193" s="13" t="s">
        <v>394</v>
      </c>
      <c r="E193" s="13" t="s">
        <v>395</v>
      </c>
      <c r="F193" s="72">
        <v>226954000000</v>
      </c>
      <c r="G193" s="13" t="s">
        <v>451</v>
      </c>
      <c r="H193" s="13"/>
      <c r="I193" s="13" t="s">
        <v>396</v>
      </c>
      <c r="J193" s="13" t="s">
        <v>397</v>
      </c>
      <c r="K193" s="13" t="s">
        <v>310</v>
      </c>
      <c r="L193" s="13"/>
      <c r="M193" s="72">
        <v>226954000000</v>
      </c>
      <c r="N193" s="13" t="s">
        <v>387</v>
      </c>
      <c r="O193" s="13">
        <v>3</v>
      </c>
      <c r="P193" s="13"/>
      <c r="Q193" s="73" t="s">
        <v>398</v>
      </c>
    </row>
    <row r="194" spans="1:17" x14ac:dyDescent="0.3">
      <c r="A194" s="13" t="s">
        <v>191</v>
      </c>
      <c r="B194" s="13" t="s">
        <v>449</v>
      </c>
      <c r="C194" s="13">
        <v>2023</v>
      </c>
      <c r="D194" s="13" t="s">
        <v>399</v>
      </c>
      <c r="E194" s="13" t="s">
        <v>400</v>
      </c>
      <c r="F194" s="72">
        <v>242290000000</v>
      </c>
      <c r="G194" s="13" t="s">
        <v>451</v>
      </c>
      <c r="H194" s="13"/>
      <c r="I194" s="13" t="s">
        <v>180</v>
      </c>
      <c r="J194" s="13" t="s">
        <v>181</v>
      </c>
      <c r="K194" s="13" t="s">
        <v>310</v>
      </c>
      <c r="L194" s="13"/>
      <c r="M194" s="72">
        <v>242290000000</v>
      </c>
      <c r="N194" s="13" t="s">
        <v>392</v>
      </c>
      <c r="O194" s="13">
        <v>3</v>
      </c>
      <c r="P194" s="13"/>
      <c r="Q194" s="73" t="s">
        <v>401</v>
      </c>
    </row>
    <row r="195" spans="1:17" x14ac:dyDescent="0.3">
      <c r="A195" s="13" t="s">
        <v>191</v>
      </c>
      <c r="B195" s="13" t="s">
        <v>449</v>
      </c>
      <c r="C195" s="13">
        <v>2024</v>
      </c>
      <c r="D195" s="13" t="s">
        <v>402</v>
      </c>
      <c r="E195" s="13" t="s">
        <v>403</v>
      </c>
      <c r="F195" s="72">
        <v>254453000000</v>
      </c>
      <c r="G195" s="13" t="s">
        <v>451</v>
      </c>
      <c r="H195" s="13"/>
      <c r="I195" s="13" t="s">
        <v>180</v>
      </c>
      <c r="J195" s="13" t="s">
        <v>181</v>
      </c>
      <c r="K195" s="13" t="s">
        <v>310</v>
      </c>
      <c r="L195" s="13"/>
      <c r="M195" s="72">
        <v>254453000000</v>
      </c>
      <c r="N195" s="13" t="s">
        <v>397</v>
      </c>
      <c r="O195" s="13">
        <v>2</v>
      </c>
      <c r="P195" s="13"/>
      <c r="Q195" s="73" t="s">
        <v>401</v>
      </c>
    </row>
    <row r="196" spans="1:17" x14ac:dyDescent="0.3">
      <c r="A196" s="13" t="s">
        <v>191</v>
      </c>
      <c r="B196" s="13" t="s">
        <v>449</v>
      </c>
      <c r="C196" s="13">
        <v>2025</v>
      </c>
      <c r="D196" s="13" t="s">
        <v>404</v>
      </c>
      <c r="E196" s="13" t="s">
        <v>405</v>
      </c>
      <c r="F196" s="72">
        <v>275235000000</v>
      </c>
      <c r="G196" s="13" t="s">
        <v>451</v>
      </c>
      <c r="H196" s="13"/>
      <c r="I196" s="13" t="s">
        <v>180</v>
      </c>
      <c r="J196" s="13" t="s">
        <v>181</v>
      </c>
      <c r="K196" s="13" t="s">
        <v>310</v>
      </c>
      <c r="L196" s="13"/>
      <c r="M196" s="72">
        <v>275235000000</v>
      </c>
      <c r="N196" s="13" t="s">
        <v>181</v>
      </c>
      <c r="O196" s="13">
        <v>1</v>
      </c>
      <c r="P196" s="13"/>
      <c r="Q196" s="73" t="s">
        <v>401</v>
      </c>
    </row>
    <row r="197" spans="1:17" x14ac:dyDescent="0.3">
      <c r="A197" s="13" t="s">
        <v>192</v>
      </c>
      <c r="B197" s="13" t="s">
        <v>61</v>
      </c>
      <c r="C197" s="13">
        <v>2015</v>
      </c>
      <c r="D197" s="13" t="s">
        <v>452</v>
      </c>
      <c r="E197" s="13" t="s">
        <v>453</v>
      </c>
      <c r="F197" s="72">
        <v>85496000000</v>
      </c>
      <c r="G197" s="13" t="s">
        <v>361</v>
      </c>
      <c r="H197" s="13"/>
      <c r="I197" s="13" t="s">
        <v>172</v>
      </c>
      <c r="J197" s="13" t="s">
        <v>173</v>
      </c>
      <c r="K197" s="13" t="s">
        <v>310</v>
      </c>
      <c r="L197" s="13"/>
      <c r="M197" s="72">
        <v>85496000000</v>
      </c>
      <c r="N197" s="13" t="s">
        <v>454</v>
      </c>
      <c r="O197" s="13">
        <v>4</v>
      </c>
      <c r="P197" s="13"/>
      <c r="Q197" s="73" t="s">
        <v>455</v>
      </c>
    </row>
    <row r="198" spans="1:17" x14ac:dyDescent="0.3">
      <c r="A198" s="13" t="s">
        <v>192</v>
      </c>
      <c r="B198" s="13" t="s">
        <v>61</v>
      </c>
      <c r="C198" s="13">
        <v>2016</v>
      </c>
      <c r="D198" s="13" t="s">
        <v>456</v>
      </c>
      <c r="E198" s="13" t="s">
        <v>457</v>
      </c>
      <c r="F198" s="72">
        <v>89502000000</v>
      </c>
      <c r="G198" s="13" t="s">
        <v>458</v>
      </c>
      <c r="H198" s="13"/>
      <c r="I198" s="13" t="s">
        <v>459</v>
      </c>
      <c r="J198" s="13" t="s">
        <v>460</v>
      </c>
      <c r="K198" s="13" t="s">
        <v>310</v>
      </c>
      <c r="L198" s="13"/>
      <c r="M198" s="72">
        <v>89502000000</v>
      </c>
      <c r="N198" s="13" t="s">
        <v>460</v>
      </c>
      <c r="O198" s="13">
        <v>1</v>
      </c>
      <c r="P198" s="13"/>
      <c r="Q198" s="73" t="s">
        <v>461</v>
      </c>
    </row>
    <row r="199" spans="1:17" x14ac:dyDescent="0.3">
      <c r="A199" s="13" t="s">
        <v>192</v>
      </c>
      <c r="B199" s="13" t="s">
        <v>61</v>
      </c>
      <c r="C199" s="13">
        <v>2017</v>
      </c>
      <c r="D199" s="13" t="s">
        <v>462</v>
      </c>
      <c r="E199" s="13" t="s">
        <v>463</v>
      </c>
      <c r="F199" s="72">
        <v>95811000000</v>
      </c>
      <c r="G199" s="13" t="s">
        <v>464</v>
      </c>
      <c r="H199" s="13"/>
      <c r="I199" s="13" t="s">
        <v>465</v>
      </c>
      <c r="J199" s="13" t="s">
        <v>466</v>
      </c>
      <c r="K199" s="13" t="s">
        <v>310</v>
      </c>
      <c r="L199" s="13"/>
      <c r="M199" s="72">
        <v>95811000000</v>
      </c>
      <c r="N199" s="13" t="s">
        <v>466</v>
      </c>
      <c r="O199" s="13">
        <v>1</v>
      </c>
      <c r="P199" s="13"/>
      <c r="Q199" s="73" t="s">
        <v>467</v>
      </c>
    </row>
    <row r="200" spans="1:17" x14ac:dyDescent="0.3">
      <c r="A200" s="13" t="s">
        <v>192</v>
      </c>
      <c r="B200" s="13" t="s">
        <v>61</v>
      </c>
      <c r="C200" s="13">
        <v>2018</v>
      </c>
      <c r="D200" s="13" t="s">
        <v>468</v>
      </c>
      <c r="E200" s="13" t="s">
        <v>469</v>
      </c>
      <c r="F200" s="72">
        <v>95103000000</v>
      </c>
      <c r="G200" s="13" t="s">
        <v>464</v>
      </c>
      <c r="H200" s="13"/>
      <c r="I200" s="13" t="s">
        <v>470</v>
      </c>
      <c r="J200" s="13" t="s">
        <v>471</v>
      </c>
      <c r="K200" s="13" t="s">
        <v>310</v>
      </c>
      <c r="L200" s="13"/>
      <c r="M200" s="72">
        <v>95103000000</v>
      </c>
      <c r="N200" s="13" t="s">
        <v>466</v>
      </c>
      <c r="O200" s="13">
        <v>2</v>
      </c>
      <c r="P200" s="13"/>
      <c r="Q200" s="73" t="s">
        <v>472</v>
      </c>
    </row>
    <row r="201" spans="1:17" x14ac:dyDescent="0.3">
      <c r="A201" s="13" t="s">
        <v>192</v>
      </c>
      <c r="B201" s="13" t="s">
        <v>61</v>
      </c>
      <c r="C201" s="13">
        <v>2019</v>
      </c>
      <c r="D201" s="13" t="s">
        <v>473</v>
      </c>
      <c r="E201" s="13" t="s">
        <v>474</v>
      </c>
      <c r="F201" s="72">
        <v>95294000000</v>
      </c>
      <c r="G201" s="13" t="s">
        <v>464</v>
      </c>
      <c r="H201" s="13"/>
      <c r="I201" s="13" t="s">
        <v>475</v>
      </c>
      <c r="J201" s="13" t="s">
        <v>476</v>
      </c>
      <c r="K201" s="13" t="s">
        <v>310</v>
      </c>
      <c r="L201" s="13"/>
      <c r="M201" s="72">
        <v>95294000000</v>
      </c>
      <c r="N201" s="13" t="s">
        <v>466</v>
      </c>
      <c r="O201" s="13">
        <v>3</v>
      </c>
      <c r="P201" s="13"/>
      <c r="Q201" s="73" t="s">
        <v>477</v>
      </c>
    </row>
    <row r="202" spans="1:17" x14ac:dyDescent="0.3">
      <c r="A202" s="13" t="s">
        <v>192</v>
      </c>
      <c r="B202" s="13" t="s">
        <v>61</v>
      </c>
      <c r="C202" s="13">
        <v>2020</v>
      </c>
      <c r="D202" s="13" t="s">
        <v>478</v>
      </c>
      <c r="E202" s="13" t="s">
        <v>479</v>
      </c>
      <c r="F202" s="72">
        <v>101597000000</v>
      </c>
      <c r="G202" s="13" t="s">
        <v>464</v>
      </c>
      <c r="H202" s="13"/>
      <c r="I202" s="13" t="s">
        <v>480</v>
      </c>
      <c r="J202" s="13" t="s">
        <v>481</v>
      </c>
      <c r="K202" s="13" t="s">
        <v>310</v>
      </c>
      <c r="L202" s="13"/>
      <c r="M202" s="72">
        <v>101597000000</v>
      </c>
      <c r="N202" s="13" t="s">
        <v>471</v>
      </c>
      <c r="O202" s="13">
        <v>3</v>
      </c>
      <c r="P202" s="13"/>
      <c r="Q202" s="73" t="s">
        <v>482</v>
      </c>
    </row>
    <row r="203" spans="1:17" x14ac:dyDescent="0.3">
      <c r="A203" s="13" t="s">
        <v>192</v>
      </c>
      <c r="B203" s="13" t="s">
        <v>61</v>
      </c>
      <c r="C203" s="13">
        <v>2021</v>
      </c>
      <c r="D203" s="13" t="s">
        <v>483</v>
      </c>
      <c r="E203" s="13" t="s">
        <v>484</v>
      </c>
      <c r="F203" s="72">
        <v>107539000000</v>
      </c>
      <c r="G203" s="13" t="s">
        <v>464</v>
      </c>
      <c r="H203" s="13"/>
      <c r="I203" s="13" t="s">
        <v>485</v>
      </c>
      <c r="J203" s="13" t="s">
        <v>486</v>
      </c>
      <c r="K203" s="13" t="s">
        <v>310</v>
      </c>
      <c r="L203" s="13"/>
      <c r="M203" s="72">
        <v>107539000000</v>
      </c>
      <c r="N203" s="13" t="s">
        <v>476</v>
      </c>
      <c r="O203" s="13">
        <v>3</v>
      </c>
      <c r="P203" s="13"/>
      <c r="Q203" s="73" t="s">
        <v>487</v>
      </c>
    </row>
    <row r="204" spans="1:17" x14ac:dyDescent="0.3">
      <c r="A204" s="13" t="s">
        <v>192</v>
      </c>
      <c r="B204" s="13" t="s">
        <v>61</v>
      </c>
      <c r="C204" s="13">
        <v>2022</v>
      </c>
      <c r="D204" s="13" t="s">
        <v>488</v>
      </c>
      <c r="E204" s="13" t="s">
        <v>489</v>
      </c>
      <c r="F204" s="72">
        <v>116480000000</v>
      </c>
      <c r="G204" s="13" t="s">
        <v>464</v>
      </c>
      <c r="H204" s="13"/>
      <c r="I204" s="13" t="s">
        <v>490</v>
      </c>
      <c r="J204" s="13" t="s">
        <v>491</v>
      </c>
      <c r="K204" s="13" t="s">
        <v>310</v>
      </c>
      <c r="L204" s="13"/>
      <c r="M204" s="72">
        <v>116480000000</v>
      </c>
      <c r="N204" s="13" t="s">
        <v>481</v>
      </c>
      <c r="O204" s="13">
        <v>3</v>
      </c>
      <c r="P204" s="13"/>
      <c r="Q204" s="73" t="s">
        <v>492</v>
      </c>
    </row>
    <row r="205" spans="1:17" x14ac:dyDescent="0.3">
      <c r="A205" s="13" t="s">
        <v>192</v>
      </c>
      <c r="B205" s="13" t="s">
        <v>61</v>
      </c>
      <c r="C205" s="13">
        <v>2023</v>
      </c>
      <c r="D205" s="13" t="s">
        <v>493</v>
      </c>
      <c r="E205" s="13" t="s">
        <v>494</v>
      </c>
      <c r="F205" s="72">
        <v>116675000000</v>
      </c>
      <c r="G205" s="13" t="s">
        <v>464</v>
      </c>
      <c r="H205" s="13"/>
      <c r="I205" s="13" t="s">
        <v>165</v>
      </c>
      <c r="J205" s="13" t="s">
        <v>166</v>
      </c>
      <c r="K205" s="13" t="s">
        <v>310</v>
      </c>
      <c r="L205" s="13"/>
      <c r="M205" s="72">
        <v>116675000000</v>
      </c>
      <c r="N205" s="13" t="s">
        <v>486</v>
      </c>
      <c r="O205" s="13">
        <v>3</v>
      </c>
      <c r="P205" s="13"/>
      <c r="Q205" s="73" t="s">
        <v>495</v>
      </c>
    </row>
    <row r="206" spans="1:17" x14ac:dyDescent="0.3">
      <c r="A206" s="13" t="s">
        <v>192</v>
      </c>
      <c r="B206" s="13" t="s">
        <v>61</v>
      </c>
      <c r="C206" s="13">
        <v>2024</v>
      </c>
      <c r="D206" s="13" t="s">
        <v>496</v>
      </c>
      <c r="E206" s="13" t="s">
        <v>497</v>
      </c>
      <c r="F206" s="72">
        <v>113720000000</v>
      </c>
      <c r="G206" s="13" t="s">
        <v>464</v>
      </c>
      <c r="H206" s="13"/>
      <c r="I206" s="13" t="s">
        <v>165</v>
      </c>
      <c r="J206" s="13" t="s">
        <v>166</v>
      </c>
      <c r="K206" s="13" t="s">
        <v>310</v>
      </c>
      <c r="L206" s="13"/>
      <c r="M206" s="72">
        <v>113720000000</v>
      </c>
      <c r="N206" s="13" t="s">
        <v>491</v>
      </c>
      <c r="O206" s="13">
        <v>2</v>
      </c>
      <c r="P206" s="13"/>
      <c r="Q206" s="73" t="s">
        <v>495</v>
      </c>
    </row>
    <row r="207" spans="1:17" x14ac:dyDescent="0.3">
      <c r="A207" s="13" t="s">
        <v>192</v>
      </c>
      <c r="B207" s="13" t="s">
        <v>61</v>
      </c>
      <c r="C207" s="13">
        <v>2025</v>
      </c>
      <c r="D207" s="13" t="s">
        <v>498</v>
      </c>
      <c r="E207" s="13" t="s">
        <v>499</v>
      </c>
      <c r="F207" s="72">
        <v>113240000000</v>
      </c>
      <c r="G207" s="13" t="s">
        <v>464</v>
      </c>
      <c r="H207" s="13"/>
      <c r="I207" s="13" t="s">
        <v>165</v>
      </c>
      <c r="J207" s="13" t="s">
        <v>166</v>
      </c>
      <c r="K207" s="13" t="s">
        <v>310</v>
      </c>
      <c r="L207" s="13"/>
      <c r="M207" s="72">
        <v>113240000000</v>
      </c>
      <c r="N207" s="13" t="s">
        <v>166</v>
      </c>
      <c r="O207" s="13">
        <v>1</v>
      </c>
      <c r="P207" s="13"/>
      <c r="Q207" s="73" t="s">
        <v>495</v>
      </c>
    </row>
    <row r="208" spans="1:17" x14ac:dyDescent="0.3">
      <c r="A208" s="13" t="s">
        <v>192</v>
      </c>
      <c r="B208" s="13" t="s">
        <v>66</v>
      </c>
      <c r="C208" s="13">
        <v>2015</v>
      </c>
      <c r="D208" s="13"/>
      <c r="E208" s="13" t="s">
        <v>453</v>
      </c>
      <c r="F208" s="72">
        <v>9892000000</v>
      </c>
      <c r="G208" s="13" t="s">
        <v>67</v>
      </c>
      <c r="H208" s="13"/>
      <c r="I208" s="13" t="s">
        <v>500</v>
      </c>
      <c r="J208" s="13" t="s">
        <v>501</v>
      </c>
      <c r="K208" s="13" t="s">
        <v>310</v>
      </c>
      <c r="L208" s="13"/>
      <c r="M208" s="72">
        <v>9892000000</v>
      </c>
      <c r="N208" s="13" t="s">
        <v>454</v>
      </c>
      <c r="O208" s="13">
        <v>2</v>
      </c>
      <c r="P208" s="13"/>
      <c r="Q208" s="73" t="s">
        <v>502</v>
      </c>
    </row>
    <row r="209" spans="1:17" x14ac:dyDescent="0.3">
      <c r="A209" s="13" t="s">
        <v>192</v>
      </c>
      <c r="B209" s="13" t="s">
        <v>66</v>
      </c>
      <c r="C209" s="13">
        <v>2016</v>
      </c>
      <c r="D209" s="13"/>
      <c r="E209" s="13" t="s">
        <v>457</v>
      </c>
      <c r="F209" s="72">
        <v>10340000000</v>
      </c>
      <c r="G209" s="13" t="s">
        <v>67</v>
      </c>
      <c r="H209" s="13"/>
      <c r="I209" s="13" t="s">
        <v>172</v>
      </c>
      <c r="J209" s="13" t="s">
        <v>173</v>
      </c>
      <c r="K209" s="13" t="s">
        <v>310</v>
      </c>
      <c r="L209" s="13"/>
      <c r="M209" s="72">
        <v>10340000000</v>
      </c>
      <c r="N209" s="13" t="s">
        <v>501</v>
      </c>
      <c r="O209" s="13">
        <v>3</v>
      </c>
      <c r="P209" s="13"/>
      <c r="Q209" s="73" t="s">
        <v>455</v>
      </c>
    </row>
    <row r="210" spans="1:17" x14ac:dyDescent="0.3">
      <c r="A210" s="13" t="s">
        <v>192</v>
      </c>
      <c r="B210" s="13" t="s">
        <v>66</v>
      </c>
      <c r="C210" s="13">
        <v>2017</v>
      </c>
      <c r="D210" s="13"/>
      <c r="E210" s="13" t="s">
        <v>463</v>
      </c>
      <c r="F210" s="72">
        <v>11117000000</v>
      </c>
      <c r="G210" s="13" t="s">
        <v>67</v>
      </c>
      <c r="H210" s="13"/>
      <c r="I210" s="13" t="s">
        <v>459</v>
      </c>
      <c r="J210" s="13" t="s">
        <v>460</v>
      </c>
      <c r="K210" s="13" t="s">
        <v>310</v>
      </c>
      <c r="L210" s="13"/>
      <c r="M210" s="72">
        <v>11117000000</v>
      </c>
      <c r="N210" s="13" t="s">
        <v>503</v>
      </c>
      <c r="O210" s="13">
        <v>3</v>
      </c>
      <c r="P210" s="13"/>
      <c r="Q210" s="73" t="s">
        <v>461</v>
      </c>
    </row>
    <row r="211" spans="1:17" x14ac:dyDescent="0.3">
      <c r="A211" s="13" t="s">
        <v>192</v>
      </c>
      <c r="B211" s="13" t="s">
        <v>66</v>
      </c>
      <c r="C211" s="13">
        <v>2018</v>
      </c>
      <c r="D211" s="13"/>
      <c r="E211" s="13" t="s">
        <v>469</v>
      </c>
      <c r="F211" s="72">
        <v>10803000000</v>
      </c>
      <c r="G211" s="13" t="s">
        <v>67</v>
      </c>
      <c r="H211" s="13"/>
      <c r="I211" s="13" t="s">
        <v>465</v>
      </c>
      <c r="J211" s="13" t="s">
        <v>466</v>
      </c>
      <c r="K211" s="13" t="s">
        <v>310</v>
      </c>
      <c r="L211" s="13"/>
      <c r="M211" s="72">
        <v>10803000000</v>
      </c>
      <c r="N211" s="13" t="s">
        <v>460</v>
      </c>
      <c r="O211" s="13">
        <v>2</v>
      </c>
      <c r="P211" s="13"/>
      <c r="Q211" s="73" t="s">
        <v>467</v>
      </c>
    </row>
    <row r="212" spans="1:17" x14ac:dyDescent="0.3">
      <c r="A212" s="13" t="s">
        <v>192</v>
      </c>
      <c r="B212" s="13" t="s">
        <v>66</v>
      </c>
      <c r="C212" s="13">
        <v>2019</v>
      </c>
      <c r="D212" s="13"/>
      <c r="E212" s="13" t="s">
        <v>474</v>
      </c>
      <c r="F212" s="72">
        <v>10890000000</v>
      </c>
      <c r="G212" s="13" t="s">
        <v>67</v>
      </c>
      <c r="H212" s="13"/>
      <c r="I212" s="13" t="s">
        <v>470</v>
      </c>
      <c r="J212" s="13" t="s">
        <v>471</v>
      </c>
      <c r="K212" s="13" t="s">
        <v>310</v>
      </c>
      <c r="L212" s="13"/>
      <c r="M212" s="72">
        <v>10890000000</v>
      </c>
      <c r="N212" s="13" t="s">
        <v>466</v>
      </c>
      <c r="O212" s="13">
        <v>2</v>
      </c>
      <c r="P212" s="13"/>
      <c r="Q212" s="73" t="s">
        <v>472</v>
      </c>
    </row>
    <row r="213" spans="1:17" x14ac:dyDescent="0.3">
      <c r="A213" s="13" t="s">
        <v>192</v>
      </c>
      <c r="B213" s="13" t="s">
        <v>66</v>
      </c>
      <c r="C213" s="13">
        <v>2020</v>
      </c>
      <c r="D213" s="13"/>
      <c r="E213" s="13" t="s">
        <v>479</v>
      </c>
      <c r="F213" s="72">
        <v>12503000000</v>
      </c>
      <c r="G213" s="13" t="s">
        <v>67</v>
      </c>
      <c r="H213" s="13"/>
      <c r="I213" s="13" t="s">
        <v>475</v>
      </c>
      <c r="J213" s="13" t="s">
        <v>476</v>
      </c>
      <c r="K213" s="13" t="s">
        <v>310</v>
      </c>
      <c r="L213" s="13"/>
      <c r="M213" s="72">
        <v>12503000000</v>
      </c>
      <c r="N213" s="13" t="s">
        <v>471</v>
      </c>
      <c r="O213" s="13">
        <v>2</v>
      </c>
      <c r="P213" s="13"/>
      <c r="Q213" s="73" t="s">
        <v>477</v>
      </c>
    </row>
    <row r="214" spans="1:17" x14ac:dyDescent="0.3">
      <c r="A214" s="13" t="s">
        <v>192</v>
      </c>
      <c r="B214" s="13" t="s">
        <v>66</v>
      </c>
      <c r="C214" s="13">
        <v>2021</v>
      </c>
      <c r="D214" s="13"/>
      <c r="E214" s="13" t="s">
        <v>484</v>
      </c>
      <c r="F214" s="72">
        <v>12174000000</v>
      </c>
      <c r="G214" s="13" t="s">
        <v>67</v>
      </c>
      <c r="H214" s="13"/>
      <c r="I214" s="13" t="s">
        <v>480</v>
      </c>
      <c r="J214" s="13" t="s">
        <v>481</v>
      </c>
      <c r="K214" s="13" t="s">
        <v>310</v>
      </c>
      <c r="L214" s="13"/>
      <c r="M214" s="72">
        <v>12174000000</v>
      </c>
      <c r="N214" s="13" t="s">
        <v>476</v>
      </c>
      <c r="O214" s="13">
        <v>2</v>
      </c>
      <c r="P214" s="13"/>
      <c r="Q214" s="73" t="s">
        <v>482</v>
      </c>
    </row>
    <row r="215" spans="1:17" x14ac:dyDescent="0.3">
      <c r="A215" s="13" t="s">
        <v>192</v>
      </c>
      <c r="B215" s="13" t="s">
        <v>66</v>
      </c>
      <c r="C215" s="13">
        <v>2022</v>
      </c>
      <c r="D215" s="13"/>
      <c r="E215" s="13" t="s">
        <v>489</v>
      </c>
      <c r="F215" s="72">
        <v>12670000000</v>
      </c>
      <c r="G215" s="13" t="s">
        <v>67</v>
      </c>
      <c r="H215" s="13"/>
      <c r="I215" s="13" t="s">
        <v>485</v>
      </c>
      <c r="J215" s="13" t="s">
        <v>486</v>
      </c>
      <c r="K215" s="13" t="s">
        <v>310</v>
      </c>
      <c r="L215" s="13"/>
      <c r="M215" s="72">
        <v>12670000000</v>
      </c>
      <c r="N215" s="13" t="s">
        <v>481</v>
      </c>
      <c r="O215" s="13">
        <v>2</v>
      </c>
      <c r="P215" s="13"/>
      <c r="Q215" s="73" t="s">
        <v>487</v>
      </c>
    </row>
    <row r="216" spans="1:17" x14ac:dyDescent="0.3">
      <c r="A216" s="13" t="s">
        <v>192</v>
      </c>
      <c r="B216" s="13" t="s">
        <v>66</v>
      </c>
      <c r="C216" s="13">
        <v>2023</v>
      </c>
      <c r="D216" s="13"/>
      <c r="E216" s="13" t="s">
        <v>494</v>
      </c>
      <c r="F216" s="72">
        <v>12948000000</v>
      </c>
      <c r="G216" s="13" t="s">
        <v>67</v>
      </c>
      <c r="H216" s="13"/>
      <c r="I216" s="13" t="s">
        <v>490</v>
      </c>
      <c r="J216" s="13" t="s">
        <v>491</v>
      </c>
      <c r="K216" s="13" t="s">
        <v>310</v>
      </c>
      <c r="L216" s="13"/>
      <c r="M216" s="72">
        <v>12948000000</v>
      </c>
      <c r="N216" s="13" t="s">
        <v>486</v>
      </c>
      <c r="O216" s="13">
        <v>2</v>
      </c>
      <c r="P216" s="13"/>
      <c r="Q216" s="73" t="s">
        <v>492</v>
      </c>
    </row>
    <row r="217" spans="1:17" x14ac:dyDescent="0.3">
      <c r="A217" s="13" t="s">
        <v>192</v>
      </c>
      <c r="B217" s="13" t="s">
        <v>66</v>
      </c>
      <c r="C217" s="13">
        <v>2024</v>
      </c>
      <c r="D217" s="13"/>
      <c r="E217" s="13" t="s">
        <v>497</v>
      </c>
      <c r="F217" s="72">
        <v>15273000000</v>
      </c>
      <c r="G217" s="13" t="s">
        <v>67</v>
      </c>
      <c r="H217" s="13"/>
      <c r="I217" s="13" t="s">
        <v>165</v>
      </c>
      <c r="J217" s="13" t="s">
        <v>166</v>
      </c>
      <c r="K217" s="13" t="s">
        <v>310</v>
      </c>
      <c r="L217" s="13"/>
      <c r="M217" s="72">
        <v>15273000000</v>
      </c>
      <c r="N217" s="13" t="s">
        <v>491</v>
      </c>
      <c r="O217" s="13">
        <v>2</v>
      </c>
      <c r="P217" s="13"/>
      <c r="Q217" s="73" t="s">
        <v>495</v>
      </c>
    </row>
    <row r="218" spans="1:17" x14ac:dyDescent="0.3">
      <c r="A218" s="13" t="s">
        <v>192</v>
      </c>
      <c r="B218" s="13" t="s">
        <v>66</v>
      </c>
      <c r="C218" s="13">
        <v>2025</v>
      </c>
      <c r="D218" s="13"/>
      <c r="E218" s="13" t="s">
        <v>499</v>
      </c>
      <c r="F218" s="72">
        <v>14505000000</v>
      </c>
      <c r="G218" s="13" t="s">
        <v>67</v>
      </c>
      <c r="H218" s="13"/>
      <c r="I218" s="13" t="s">
        <v>165</v>
      </c>
      <c r="J218" s="13" t="s">
        <v>166</v>
      </c>
      <c r="K218" s="13" t="s">
        <v>310</v>
      </c>
      <c r="L218" s="13"/>
      <c r="M218" s="72">
        <v>14505000000</v>
      </c>
      <c r="N218" s="13" t="s">
        <v>166</v>
      </c>
      <c r="O218" s="13">
        <v>1</v>
      </c>
      <c r="P218" s="13"/>
      <c r="Q218" s="73" t="s">
        <v>495</v>
      </c>
    </row>
    <row r="219" spans="1:17" x14ac:dyDescent="0.3">
      <c r="A219" s="13" t="s">
        <v>192</v>
      </c>
      <c r="B219" s="13" t="s">
        <v>68</v>
      </c>
      <c r="C219" s="13">
        <v>2015</v>
      </c>
      <c r="D219" s="13"/>
      <c r="E219" s="13" t="s">
        <v>453</v>
      </c>
      <c r="F219" s="72">
        <v>12971000000</v>
      </c>
      <c r="G219" s="13" t="s">
        <v>69</v>
      </c>
      <c r="H219" s="13"/>
      <c r="I219" s="13" t="s">
        <v>500</v>
      </c>
      <c r="J219" s="13" t="s">
        <v>501</v>
      </c>
      <c r="K219" s="13" t="s">
        <v>310</v>
      </c>
      <c r="L219" s="13"/>
      <c r="M219" s="72">
        <v>12971000000</v>
      </c>
      <c r="N219" s="13" t="s">
        <v>454</v>
      </c>
      <c r="O219" s="13">
        <v>2</v>
      </c>
      <c r="P219" s="13"/>
      <c r="Q219" s="73" t="s">
        <v>502</v>
      </c>
    </row>
    <row r="220" spans="1:17" x14ac:dyDescent="0.3">
      <c r="A220" s="13" t="s">
        <v>192</v>
      </c>
      <c r="B220" s="13" t="s">
        <v>68</v>
      </c>
      <c r="C220" s="13">
        <v>2016</v>
      </c>
      <c r="D220" s="13"/>
      <c r="E220" s="13" t="s">
        <v>457</v>
      </c>
      <c r="F220" s="72">
        <v>12860000000</v>
      </c>
      <c r="G220" s="13" t="s">
        <v>69</v>
      </c>
      <c r="H220" s="13"/>
      <c r="I220" s="13" t="s">
        <v>172</v>
      </c>
      <c r="J220" s="13" t="s">
        <v>173</v>
      </c>
      <c r="K220" s="13" t="s">
        <v>310</v>
      </c>
      <c r="L220" s="13"/>
      <c r="M220" s="72">
        <v>12860000000</v>
      </c>
      <c r="N220" s="13" t="s">
        <v>501</v>
      </c>
      <c r="O220" s="13">
        <v>3</v>
      </c>
      <c r="P220" s="13"/>
      <c r="Q220" s="73" t="s">
        <v>455</v>
      </c>
    </row>
    <row r="221" spans="1:17" x14ac:dyDescent="0.3">
      <c r="A221" s="13" t="s">
        <v>192</v>
      </c>
      <c r="B221" s="13" t="s">
        <v>68</v>
      </c>
      <c r="C221" s="13">
        <v>2017</v>
      </c>
      <c r="D221" s="13"/>
      <c r="E221" s="13" t="s">
        <v>463</v>
      </c>
      <c r="F221" s="72">
        <v>14197000000</v>
      </c>
      <c r="G221" s="13" t="s">
        <v>69</v>
      </c>
      <c r="H221" s="13"/>
      <c r="I221" s="13" t="s">
        <v>459</v>
      </c>
      <c r="J221" s="13" t="s">
        <v>460</v>
      </c>
      <c r="K221" s="13" t="s">
        <v>310</v>
      </c>
      <c r="L221" s="13"/>
      <c r="M221" s="72">
        <v>14197000000</v>
      </c>
      <c r="N221" s="13" t="s">
        <v>503</v>
      </c>
      <c r="O221" s="13">
        <v>3</v>
      </c>
      <c r="P221" s="13"/>
      <c r="Q221" s="73" t="s">
        <v>461</v>
      </c>
    </row>
    <row r="222" spans="1:17" x14ac:dyDescent="0.3">
      <c r="A222" s="13" t="s">
        <v>192</v>
      </c>
      <c r="B222" s="13" t="s">
        <v>68</v>
      </c>
      <c r="C222" s="13">
        <v>2018</v>
      </c>
      <c r="D222" s="13"/>
      <c r="E222" s="13" t="s">
        <v>469</v>
      </c>
      <c r="F222" s="72">
        <v>14274000000</v>
      </c>
      <c r="G222" s="13" t="s">
        <v>69</v>
      </c>
      <c r="H222" s="13"/>
      <c r="I222" s="13" t="s">
        <v>465</v>
      </c>
      <c r="J222" s="13" t="s">
        <v>466</v>
      </c>
      <c r="K222" s="13" t="s">
        <v>310</v>
      </c>
      <c r="L222" s="13"/>
      <c r="M222" s="72">
        <v>14274000000</v>
      </c>
      <c r="N222" s="13" t="s">
        <v>460</v>
      </c>
      <c r="O222" s="13">
        <v>2</v>
      </c>
      <c r="P222" s="13"/>
      <c r="Q222" s="73" t="s">
        <v>467</v>
      </c>
    </row>
    <row r="223" spans="1:17" x14ac:dyDescent="0.3">
      <c r="A223" s="13" t="s">
        <v>192</v>
      </c>
      <c r="B223" s="13" t="s">
        <v>68</v>
      </c>
      <c r="C223" s="13">
        <v>2019</v>
      </c>
      <c r="D223" s="13"/>
      <c r="E223" s="13" t="s">
        <v>474</v>
      </c>
      <c r="F223" s="72">
        <v>14243000000</v>
      </c>
      <c r="G223" s="13" t="s">
        <v>69</v>
      </c>
      <c r="H223" s="13"/>
      <c r="I223" s="13" t="s">
        <v>470</v>
      </c>
      <c r="J223" s="13" t="s">
        <v>471</v>
      </c>
      <c r="K223" s="13" t="s">
        <v>310</v>
      </c>
      <c r="L223" s="13"/>
      <c r="M223" s="72">
        <v>14243000000</v>
      </c>
      <c r="N223" s="13" t="s">
        <v>466</v>
      </c>
      <c r="O223" s="13">
        <v>2</v>
      </c>
      <c r="P223" s="13"/>
      <c r="Q223" s="73" t="s">
        <v>472</v>
      </c>
    </row>
    <row r="224" spans="1:17" x14ac:dyDescent="0.3">
      <c r="A224" s="13" t="s">
        <v>192</v>
      </c>
      <c r="B224" s="13" t="s">
        <v>68</v>
      </c>
      <c r="C224" s="13">
        <v>2020</v>
      </c>
      <c r="D224" s="13"/>
      <c r="E224" s="13" t="s">
        <v>479</v>
      </c>
      <c r="F224" s="72">
        <v>15366000000</v>
      </c>
      <c r="G224" s="13" t="s">
        <v>69</v>
      </c>
      <c r="H224" s="13"/>
      <c r="I224" s="13" t="s">
        <v>475</v>
      </c>
      <c r="J224" s="13" t="s">
        <v>476</v>
      </c>
      <c r="K224" s="13" t="s">
        <v>310</v>
      </c>
      <c r="L224" s="13"/>
      <c r="M224" s="72">
        <v>15366000000</v>
      </c>
      <c r="N224" s="13" t="s">
        <v>471</v>
      </c>
      <c r="O224" s="13">
        <v>2</v>
      </c>
      <c r="P224" s="13"/>
      <c r="Q224" s="73" t="s">
        <v>477</v>
      </c>
    </row>
    <row r="225" spans="1:17" x14ac:dyDescent="0.3">
      <c r="A225" s="13" t="s">
        <v>192</v>
      </c>
      <c r="B225" s="13" t="s">
        <v>68</v>
      </c>
      <c r="C225" s="13">
        <v>2021</v>
      </c>
      <c r="D225" s="13"/>
      <c r="E225" s="13" t="s">
        <v>484</v>
      </c>
      <c r="F225" s="72">
        <v>16323000000</v>
      </c>
      <c r="G225" s="13" t="s">
        <v>69</v>
      </c>
      <c r="H225" s="13"/>
      <c r="I225" s="13" t="s">
        <v>480</v>
      </c>
      <c r="J225" s="13" t="s">
        <v>481</v>
      </c>
      <c r="K225" s="13" t="s">
        <v>310</v>
      </c>
      <c r="L225" s="13"/>
      <c r="M225" s="72">
        <v>16323000000</v>
      </c>
      <c r="N225" s="13" t="s">
        <v>476</v>
      </c>
      <c r="O225" s="13">
        <v>2</v>
      </c>
      <c r="P225" s="13"/>
      <c r="Q225" s="73" t="s">
        <v>482</v>
      </c>
    </row>
    <row r="226" spans="1:17" x14ac:dyDescent="0.3">
      <c r="A226" s="13" t="s">
        <v>192</v>
      </c>
      <c r="B226" s="13" t="s">
        <v>68</v>
      </c>
      <c r="C226" s="13">
        <v>2022</v>
      </c>
      <c r="D226" s="13"/>
      <c r="E226" s="13" t="s">
        <v>489</v>
      </c>
      <c r="F226" s="72">
        <v>17238000000</v>
      </c>
      <c r="G226" s="13" t="s">
        <v>69</v>
      </c>
      <c r="H226" s="13"/>
      <c r="I226" s="13" t="s">
        <v>485</v>
      </c>
      <c r="J226" s="13" t="s">
        <v>486</v>
      </c>
      <c r="K226" s="13" t="s">
        <v>310</v>
      </c>
      <c r="L226" s="13"/>
      <c r="M226" s="72">
        <v>17238000000</v>
      </c>
      <c r="N226" s="13" t="s">
        <v>481</v>
      </c>
      <c r="O226" s="13">
        <v>2</v>
      </c>
      <c r="P226" s="13"/>
      <c r="Q226" s="73" t="s">
        <v>487</v>
      </c>
    </row>
    <row r="227" spans="1:17" x14ac:dyDescent="0.3">
      <c r="A227" s="13" t="s">
        <v>192</v>
      </c>
      <c r="B227" s="13" t="s">
        <v>68</v>
      </c>
      <c r="C227" s="13">
        <v>2023</v>
      </c>
      <c r="D227" s="13"/>
      <c r="E227" s="13" t="s">
        <v>494</v>
      </c>
      <c r="F227" s="72">
        <v>16058000000</v>
      </c>
      <c r="G227" s="13" t="s">
        <v>69</v>
      </c>
      <c r="H227" s="13"/>
      <c r="I227" s="13" t="s">
        <v>490</v>
      </c>
      <c r="J227" s="13" t="s">
        <v>491</v>
      </c>
      <c r="K227" s="13" t="s">
        <v>310</v>
      </c>
      <c r="L227" s="13"/>
      <c r="M227" s="72">
        <v>16058000000</v>
      </c>
      <c r="N227" s="13" t="s">
        <v>486</v>
      </c>
      <c r="O227" s="13">
        <v>2</v>
      </c>
      <c r="P227" s="13"/>
      <c r="Q227" s="73" t="s">
        <v>492</v>
      </c>
    </row>
    <row r="228" spans="1:17" x14ac:dyDescent="0.3">
      <c r="A228" s="13" t="s">
        <v>192</v>
      </c>
      <c r="B228" s="13" t="s">
        <v>68</v>
      </c>
      <c r="C228" s="13">
        <v>2024</v>
      </c>
      <c r="D228" s="13"/>
      <c r="E228" s="13" t="s">
        <v>497</v>
      </c>
      <c r="F228" s="72">
        <v>15940000000</v>
      </c>
      <c r="G228" s="13" t="s">
        <v>69</v>
      </c>
      <c r="H228" s="13"/>
      <c r="I228" s="13" t="s">
        <v>165</v>
      </c>
      <c r="J228" s="13" t="s">
        <v>166</v>
      </c>
      <c r="K228" s="13" t="s">
        <v>310</v>
      </c>
      <c r="L228" s="13"/>
      <c r="M228" s="72">
        <v>15940000000</v>
      </c>
      <c r="N228" s="13" t="s">
        <v>491</v>
      </c>
      <c r="O228" s="13">
        <v>2</v>
      </c>
      <c r="P228" s="13"/>
      <c r="Q228" s="73" t="s">
        <v>495</v>
      </c>
    </row>
    <row r="229" spans="1:17" x14ac:dyDescent="0.3">
      <c r="A229" s="13" t="s">
        <v>192</v>
      </c>
      <c r="B229" s="13" t="s">
        <v>68</v>
      </c>
      <c r="C229" s="13">
        <v>2025</v>
      </c>
      <c r="D229" s="13"/>
      <c r="E229" s="13" t="s">
        <v>499</v>
      </c>
      <c r="F229" s="72">
        <v>18108000000</v>
      </c>
      <c r="G229" s="13" t="s">
        <v>69</v>
      </c>
      <c r="H229" s="13"/>
      <c r="I229" s="13" t="s">
        <v>165</v>
      </c>
      <c r="J229" s="13" t="s">
        <v>166</v>
      </c>
      <c r="K229" s="13" t="s">
        <v>310</v>
      </c>
      <c r="L229" s="13"/>
      <c r="M229" s="72">
        <v>18108000000</v>
      </c>
      <c r="N229" s="13" t="s">
        <v>166</v>
      </c>
      <c r="O229" s="13">
        <v>1</v>
      </c>
      <c r="P229" s="13"/>
      <c r="Q229" s="73" t="s">
        <v>495</v>
      </c>
    </row>
    <row r="230" spans="1:17" x14ac:dyDescent="0.3">
      <c r="A230" s="13" t="s">
        <v>192</v>
      </c>
      <c r="B230" s="13" t="s">
        <v>410</v>
      </c>
      <c r="C230" s="13">
        <v>2015</v>
      </c>
      <c r="D230" s="13"/>
      <c r="E230" s="13" t="s">
        <v>453</v>
      </c>
      <c r="F230" s="72">
        <v>6820000000</v>
      </c>
      <c r="G230" s="13" t="s">
        <v>148</v>
      </c>
      <c r="H230" s="13"/>
      <c r="I230" s="13" t="s">
        <v>500</v>
      </c>
      <c r="J230" s="13" t="s">
        <v>501</v>
      </c>
      <c r="K230" s="13" t="s">
        <v>310</v>
      </c>
      <c r="L230" s="13"/>
      <c r="M230" s="72">
        <v>6820000000</v>
      </c>
      <c r="N230" s="13" t="s">
        <v>454</v>
      </c>
      <c r="O230" s="13">
        <v>2</v>
      </c>
      <c r="P230" s="13"/>
      <c r="Q230" s="73" t="s">
        <v>502</v>
      </c>
    </row>
    <row r="231" spans="1:17" x14ac:dyDescent="0.3">
      <c r="A231" s="13" t="s">
        <v>192</v>
      </c>
      <c r="B231" s="13" t="s">
        <v>410</v>
      </c>
      <c r="C231" s="13">
        <v>2016</v>
      </c>
      <c r="D231" s="13"/>
      <c r="E231" s="13" t="s">
        <v>457</v>
      </c>
      <c r="F231" s="72">
        <v>6698000000</v>
      </c>
      <c r="G231" s="13" t="s">
        <v>148</v>
      </c>
      <c r="H231" s="13"/>
      <c r="I231" s="13" t="s">
        <v>172</v>
      </c>
      <c r="J231" s="13" t="s">
        <v>173</v>
      </c>
      <c r="K231" s="13" t="s">
        <v>310</v>
      </c>
      <c r="L231" s="13"/>
      <c r="M231" s="72">
        <v>6698000000</v>
      </c>
      <c r="N231" s="13" t="s">
        <v>501</v>
      </c>
      <c r="O231" s="13">
        <v>3</v>
      </c>
      <c r="P231" s="13"/>
      <c r="Q231" s="73" t="s">
        <v>455</v>
      </c>
    </row>
    <row r="232" spans="1:17" x14ac:dyDescent="0.3">
      <c r="A232" s="13" t="s">
        <v>192</v>
      </c>
      <c r="B232" s="13" t="s">
        <v>410</v>
      </c>
      <c r="C232" s="13">
        <v>2017</v>
      </c>
      <c r="D232" s="13"/>
      <c r="E232" s="13" t="s">
        <v>463</v>
      </c>
      <c r="F232" s="72">
        <v>6931000000</v>
      </c>
      <c r="G232" s="13" t="s">
        <v>148</v>
      </c>
      <c r="H232" s="13"/>
      <c r="I232" s="13" t="s">
        <v>459</v>
      </c>
      <c r="J232" s="13" t="s">
        <v>460</v>
      </c>
      <c r="K232" s="13" t="s">
        <v>310</v>
      </c>
      <c r="L232" s="13"/>
      <c r="M232" s="72">
        <v>6931000000</v>
      </c>
      <c r="N232" s="13" t="s">
        <v>503</v>
      </c>
      <c r="O232" s="13">
        <v>3</v>
      </c>
      <c r="P232" s="13"/>
      <c r="Q232" s="73" t="s">
        <v>461</v>
      </c>
    </row>
    <row r="233" spans="1:17" x14ac:dyDescent="0.3">
      <c r="A233" s="13" t="s">
        <v>192</v>
      </c>
      <c r="B233" s="13" t="s">
        <v>410</v>
      </c>
      <c r="C233" s="13">
        <v>2018</v>
      </c>
      <c r="D233" s="13"/>
      <c r="E233" s="13" t="s">
        <v>469</v>
      </c>
      <c r="F233" s="72">
        <v>7886000000</v>
      </c>
      <c r="G233" s="13" t="s">
        <v>148</v>
      </c>
      <c r="H233" s="13"/>
      <c r="I233" s="13" t="s">
        <v>465</v>
      </c>
      <c r="J233" s="13" t="s">
        <v>466</v>
      </c>
      <c r="K233" s="13" t="s">
        <v>310</v>
      </c>
      <c r="L233" s="13"/>
      <c r="M233" s="72">
        <v>7886000000</v>
      </c>
      <c r="N233" s="13" t="s">
        <v>460</v>
      </c>
      <c r="O233" s="13">
        <v>2</v>
      </c>
      <c r="P233" s="13"/>
      <c r="Q233" s="73" t="s">
        <v>467</v>
      </c>
    </row>
    <row r="234" spans="1:17" x14ac:dyDescent="0.3">
      <c r="A234" s="13" t="s">
        <v>192</v>
      </c>
      <c r="B234" s="13" t="s">
        <v>410</v>
      </c>
      <c r="C234" s="13">
        <v>2019</v>
      </c>
      <c r="D234" s="13"/>
      <c r="E234" s="13" t="s">
        <v>474</v>
      </c>
      <c r="F234" s="72">
        <v>8602000000</v>
      </c>
      <c r="G234" s="13" t="s">
        <v>148</v>
      </c>
      <c r="H234" s="13"/>
      <c r="I234" s="13" t="s">
        <v>470</v>
      </c>
      <c r="J234" s="13" t="s">
        <v>471</v>
      </c>
      <c r="K234" s="13" t="s">
        <v>310</v>
      </c>
      <c r="L234" s="13"/>
      <c r="M234" s="72">
        <v>8602000000</v>
      </c>
      <c r="N234" s="13" t="s">
        <v>466</v>
      </c>
      <c r="O234" s="13">
        <v>2</v>
      </c>
      <c r="P234" s="13"/>
      <c r="Q234" s="73" t="s">
        <v>472</v>
      </c>
    </row>
    <row r="235" spans="1:17" x14ac:dyDescent="0.3">
      <c r="A235" s="13" t="s">
        <v>192</v>
      </c>
      <c r="B235" s="13" t="s">
        <v>410</v>
      </c>
      <c r="C235" s="13">
        <v>2020</v>
      </c>
      <c r="D235" s="13"/>
      <c r="E235" s="13" t="s">
        <v>479</v>
      </c>
      <c r="F235" s="72">
        <v>9576000000</v>
      </c>
      <c r="G235" s="13" t="s">
        <v>148</v>
      </c>
      <c r="H235" s="13"/>
      <c r="I235" s="13" t="s">
        <v>475</v>
      </c>
      <c r="J235" s="13" t="s">
        <v>476</v>
      </c>
      <c r="K235" s="13" t="s">
        <v>310</v>
      </c>
      <c r="L235" s="13"/>
      <c r="M235" s="72">
        <v>9576000000</v>
      </c>
      <c r="N235" s="13" t="s">
        <v>471</v>
      </c>
      <c r="O235" s="13">
        <v>2</v>
      </c>
      <c r="P235" s="13"/>
      <c r="Q235" s="73" t="s">
        <v>477</v>
      </c>
    </row>
    <row r="236" spans="1:17" x14ac:dyDescent="0.3">
      <c r="A236" s="13" t="s">
        <v>192</v>
      </c>
      <c r="B236" s="13" t="s">
        <v>410</v>
      </c>
      <c r="C236" s="13">
        <v>2021</v>
      </c>
      <c r="D236" s="13"/>
      <c r="E236" s="13" t="s">
        <v>484</v>
      </c>
      <c r="F236" s="72">
        <v>9452000000</v>
      </c>
      <c r="G236" s="13" t="s">
        <v>148</v>
      </c>
      <c r="H236" s="13"/>
      <c r="I236" s="13" t="s">
        <v>480</v>
      </c>
      <c r="J236" s="13" t="s">
        <v>481</v>
      </c>
      <c r="K236" s="13" t="s">
        <v>310</v>
      </c>
      <c r="L236" s="13"/>
      <c r="M236" s="72">
        <v>9452000000</v>
      </c>
      <c r="N236" s="13" t="s">
        <v>476</v>
      </c>
      <c r="O236" s="13">
        <v>2</v>
      </c>
      <c r="P236" s="13"/>
      <c r="Q236" s="73" t="s">
        <v>482</v>
      </c>
    </row>
    <row r="237" spans="1:17" x14ac:dyDescent="0.3">
      <c r="A237" s="13" t="s">
        <v>192</v>
      </c>
      <c r="B237" s="13" t="s">
        <v>410</v>
      </c>
      <c r="C237" s="13">
        <v>2022</v>
      </c>
      <c r="D237" s="13"/>
      <c r="E237" s="13" t="s">
        <v>489</v>
      </c>
      <c r="F237" s="72">
        <v>10042000000</v>
      </c>
      <c r="G237" s="13" t="s">
        <v>148</v>
      </c>
      <c r="H237" s="13"/>
      <c r="I237" s="13" t="s">
        <v>485</v>
      </c>
      <c r="J237" s="13" t="s">
        <v>486</v>
      </c>
      <c r="K237" s="13" t="s">
        <v>310</v>
      </c>
      <c r="L237" s="13"/>
      <c r="M237" s="72">
        <v>10042000000</v>
      </c>
      <c r="N237" s="13" t="s">
        <v>481</v>
      </c>
      <c r="O237" s="13">
        <v>2</v>
      </c>
      <c r="P237" s="13"/>
      <c r="Q237" s="73" t="s">
        <v>487</v>
      </c>
    </row>
    <row r="238" spans="1:17" x14ac:dyDescent="0.3">
      <c r="A238" s="13" t="s">
        <v>192</v>
      </c>
      <c r="B238" s="13" t="s">
        <v>410</v>
      </c>
      <c r="C238" s="13">
        <v>2023</v>
      </c>
      <c r="D238" s="13"/>
      <c r="E238" s="13" t="s">
        <v>494</v>
      </c>
      <c r="F238" s="72">
        <v>11615000000</v>
      </c>
      <c r="G238" s="13" t="s">
        <v>148</v>
      </c>
      <c r="H238" s="13"/>
      <c r="I238" s="13" t="s">
        <v>490</v>
      </c>
      <c r="J238" s="13" t="s">
        <v>491</v>
      </c>
      <c r="K238" s="13" t="s">
        <v>310</v>
      </c>
      <c r="L238" s="13"/>
      <c r="M238" s="72">
        <v>11615000000</v>
      </c>
      <c r="N238" s="13" t="s">
        <v>486</v>
      </c>
      <c r="O238" s="13">
        <v>2</v>
      </c>
      <c r="P238" s="13"/>
      <c r="Q238" s="73" t="s">
        <v>492</v>
      </c>
    </row>
    <row r="239" spans="1:17" x14ac:dyDescent="0.3">
      <c r="A239" s="13" t="s">
        <v>192</v>
      </c>
      <c r="B239" s="13" t="s">
        <v>410</v>
      </c>
      <c r="C239" s="13">
        <v>2024</v>
      </c>
      <c r="D239" s="13"/>
      <c r="E239" s="13" t="s">
        <v>497</v>
      </c>
      <c r="F239" s="72">
        <v>8285000000</v>
      </c>
      <c r="G239" s="13" t="s">
        <v>148</v>
      </c>
      <c r="H239" s="13"/>
      <c r="I239" s="13" t="s">
        <v>165</v>
      </c>
      <c r="J239" s="13" t="s">
        <v>166</v>
      </c>
      <c r="K239" s="13" t="s">
        <v>310</v>
      </c>
      <c r="L239" s="13"/>
      <c r="M239" s="72">
        <v>8285000000</v>
      </c>
      <c r="N239" s="13" t="s">
        <v>491</v>
      </c>
      <c r="O239" s="13">
        <v>2</v>
      </c>
      <c r="P239" s="13"/>
      <c r="Q239" s="73" t="s">
        <v>495</v>
      </c>
    </row>
    <row r="240" spans="1:17" x14ac:dyDescent="0.3">
      <c r="A240" s="13" t="s">
        <v>192</v>
      </c>
      <c r="B240" s="13" t="s">
        <v>410</v>
      </c>
      <c r="C240" s="13">
        <v>2025</v>
      </c>
      <c r="D240" s="13"/>
      <c r="E240" s="13" t="s">
        <v>499</v>
      </c>
      <c r="F240" s="72">
        <v>5927000000</v>
      </c>
      <c r="G240" s="13" t="s">
        <v>148</v>
      </c>
      <c r="H240" s="13"/>
      <c r="I240" s="13" t="s">
        <v>165</v>
      </c>
      <c r="J240" s="13" t="s">
        <v>166</v>
      </c>
      <c r="K240" s="13" t="s">
        <v>310</v>
      </c>
      <c r="L240" s="13"/>
      <c r="M240" s="72">
        <v>5927000000</v>
      </c>
      <c r="N240" s="13" t="s">
        <v>166</v>
      </c>
      <c r="O240" s="13">
        <v>1</v>
      </c>
      <c r="P240" s="13"/>
      <c r="Q240" s="73" t="s">
        <v>495</v>
      </c>
    </row>
    <row r="241" spans="1:17" x14ac:dyDescent="0.3">
      <c r="A241" s="13" t="s">
        <v>192</v>
      </c>
      <c r="B241" s="13" t="s">
        <v>411</v>
      </c>
      <c r="C241" s="13">
        <v>2018</v>
      </c>
      <c r="D241" s="13"/>
      <c r="E241" s="13" t="s">
        <v>469</v>
      </c>
      <c r="F241" s="72">
        <v>54000000</v>
      </c>
      <c r="G241" s="13" t="s">
        <v>122</v>
      </c>
      <c r="H241" s="13"/>
      <c r="I241" s="13" t="s">
        <v>465</v>
      </c>
      <c r="J241" s="13" t="s">
        <v>466</v>
      </c>
      <c r="K241" s="13" t="s">
        <v>310</v>
      </c>
      <c r="L241" s="13"/>
      <c r="M241" s="72">
        <v>54000000</v>
      </c>
      <c r="N241" s="13" t="s">
        <v>466</v>
      </c>
      <c r="O241" s="13">
        <v>1</v>
      </c>
      <c r="P241" s="13"/>
      <c r="Q241" s="73" t="s">
        <v>467</v>
      </c>
    </row>
    <row r="242" spans="1:17" x14ac:dyDescent="0.3">
      <c r="A242" s="13" t="s">
        <v>192</v>
      </c>
      <c r="B242" s="13" t="s">
        <v>411</v>
      </c>
      <c r="C242" s="13">
        <v>2019</v>
      </c>
      <c r="D242" s="13"/>
      <c r="E242" s="13" t="s">
        <v>474</v>
      </c>
      <c r="F242" s="72">
        <v>39000000</v>
      </c>
      <c r="G242" s="13" t="s">
        <v>122</v>
      </c>
      <c r="H242" s="13"/>
      <c r="I242" s="13" t="s">
        <v>470</v>
      </c>
      <c r="J242" s="13" t="s">
        <v>471</v>
      </c>
      <c r="K242" s="13" t="s">
        <v>310</v>
      </c>
      <c r="L242" s="13"/>
      <c r="M242" s="72">
        <v>39000000</v>
      </c>
      <c r="N242" s="13" t="s">
        <v>466</v>
      </c>
      <c r="O242" s="13">
        <v>2</v>
      </c>
      <c r="P242" s="13"/>
      <c r="Q242" s="73" t="s">
        <v>472</v>
      </c>
    </row>
    <row r="243" spans="1:17" x14ac:dyDescent="0.3">
      <c r="A243" s="13" t="s">
        <v>192</v>
      </c>
      <c r="B243" s="13" t="s">
        <v>411</v>
      </c>
      <c r="C243" s="13">
        <v>2020</v>
      </c>
      <c r="D243" s="13"/>
      <c r="E243" s="13" t="s">
        <v>479</v>
      </c>
      <c r="F243" s="72">
        <v>67000000</v>
      </c>
      <c r="G243" s="13" t="s">
        <v>122</v>
      </c>
      <c r="H243" s="13"/>
      <c r="I243" s="13" t="s">
        <v>475</v>
      </c>
      <c r="J243" s="13" t="s">
        <v>476</v>
      </c>
      <c r="K243" s="13" t="s">
        <v>310</v>
      </c>
      <c r="L243" s="13"/>
      <c r="M243" s="72">
        <v>67000000</v>
      </c>
      <c r="N243" s="13" t="s">
        <v>471</v>
      </c>
      <c r="O243" s="13">
        <v>2</v>
      </c>
      <c r="P243" s="13"/>
      <c r="Q243" s="73" t="s">
        <v>477</v>
      </c>
    </row>
    <row r="244" spans="1:17" x14ac:dyDescent="0.3">
      <c r="A244" s="13" t="s">
        <v>192</v>
      </c>
      <c r="B244" s="13" t="s">
        <v>411</v>
      </c>
      <c r="C244" s="13">
        <v>2021</v>
      </c>
      <c r="D244" s="13"/>
      <c r="E244" s="13" t="s">
        <v>484</v>
      </c>
      <c r="F244" s="72">
        <v>104000000</v>
      </c>
      <c r="G244" s="13" t="s">
        <v>122</v>
      </c>
      <c r="H244" s="13"/>
      <c r="I244" s="13" t="s">
        <v>480</v>
      </c>
      <c r="J244" s="13" t="s">
        <v>481</v>
      </c>
      <c r="K244" s="13" t="s">
        <v>310</v>
      </c>
      <c r="L244" s="13"/>
      <c r="M244" s="72">
        <v>104000000</v>
      </c>
      <c r="N244" s="13" t="s">
        <v>476</v>
      </c>
      <c r="O244" s="13">
        <v>2</v>
      </c>
      <c r="P244" s="13"/>
      <c r="Q244" s="73" t="s">
        <v>482</v>
      </c>
    </row>
    <row r="245" spans="1:17" x14ac:dyDescent="0.3">
      <c r="A245" s="13" t="s">
        <v>192</v>
      </c>
      <c r="B245" s="13" t="s">
        <v>411</v>
      </c>
      <c r="C245" s="13">
        <v>2022</v>
      </c>
      <c r="D245" s="13"/>
      <c r="E245" s="13" t="s">
        <v>489</v>
      </c>
      <c r="F245" s="72">
        <v>157000000</v>
      </c>
      <c r="G245" s="13" t="s">
        <v>122</v>
      </c>
      <c r="H245" s="13"/>
      <c r="I245" s="13" t="s">
        <v>485</v>
      </c>
      <c r="J245" s="13" t="s">
        <v>486</v>
      </c>
      <c r="K245" s="13" t="s">
        <v>310</v>
      </c>
      <c r="L245" s="13"/>
      <c r="M245" s="72">
        <v>157000000</v>
      </c>
      <c r="N245" s="13" t="s">
        <v>481</v>
      </c>
      <c r="O245" s="13">
        <v>2</v>
      </c>
      <c r="P245" s="13"/>
      <c r="Q245" s="73" t="s">
        <v>487</v>
      </c>
    </row>
    <row r="246" spans="1:17" x14ac:dyDescent="0.3">
      <c r="A246" s="13" t="s">
        <v>192</v>
      </c>
      <c r="B246" s="13" t="s">
        <v>411</v>
      </c>
      <c r="C246" s="13">
        <v>2023</v>
      </c>
      <c r="D246" s="13"/>
      <c r="E246" s="13" t="s">
        <v>494</v>
      </c>
      <c r="F246" s="72">
        <v>173000000</v>
      </c>
      <c r="G246" s="13" t="s">
        <v>122</v>
      </c>
      <c r="H246" s="13"/>
      <c r="I246" s="13" t="s">
        <v>490</v>
      </c>
      <c r="J246" s="13" t="s">
        <v>491</v>
      </c>
      <c r="K246" s="13" t="s">
        <v>310</v>
      </c>
      <c r="L246" s="13"/>
      <c r="M246" s="72">
        <v>173000000</v>
      </c>
      <c r="N246" s="13" t="s">
        <v>486</v>
      </c>
      <c r="O246" s="13">
        <v>2</v>
      </c>
      <c r="P246" s="13"/>
      <c r="Q246" s="73" t="s">
        <v>492</v>
      </c>
    </row>
    <row r="247" spans="1:17" x14ac:dyDescent="0.3">
      <c r="A247" s="13" t="s">
        <v>192</v>
      </c>
      <c r="B247" s="13" t="s">
        <v>411</v>
      </c>
      <c r="C247" s="13">
        <v>2024</v>
      </c>
      <c r="D247" s="13"/>
      <c r="E247" s="13" t="s">
        <v>497</v>
      </c>
      <c r="F247" s="72">
        <v>168000000</v>
      </c>
      <c r="G247" s="13" t="s">
        <v>122</v>
      </c>
      <c r="H247" s="13"/>
      <c r="I247" s="13" t="s">
        <v>165</v>
      </c>
      <c r="J247" s="13" t="s">
        <v>166</v>
      </c>
      <c r="K247" s="13" t="s">
        <v>310</v>
      </c>
      <c r="L247" s="13"/>
      <c r="M247" s="72">
        <v>168000000</v>
      </c>
      <c r="N247" s="13" t="s">
        <v>491</v>
      </c>
      <c r="O247" s="13">
        <v>2</v>
      </c>
      <c r="P247" s="13"/>
      <c r="Q247" s="73" t="s">
        <v>495</v>
      </c>
    </row>
    <row r="248" spans="1:17" x14ac:dyDescent="0.3">
      <c r="A248" s="13" t="s">
        <v>192</v>
      </c>
      <c r="B248" s="13" t="s">
        <v>411</v>
      </c>
      <c r="C248" s="13">
        <v>2025</v>
      </c>
      <c r="D248" s="13"/>
      <c r="E248" s="13" t="s">
        <v>499</v>
      </c>
      <c r="F248" s="72">
        <v>436000000</v>
      </c>
      <c r="G248" s="13" t="s">
        <v>122</v>
      </c>
      <c r="H248" s="13"/>
      <c r="I248" s="13" t="s">
        <v>165</v>
      </c>
      <c r="J248" s="13" t="s">
        <v>166</v>
      </c>
      <c r="K248" s="13" t="s">
        <v>310</v>
      </c>
      <c r="L248" s="13"/>
      <c r="M248" s="72">
        <v>436000000</v>
      </c>
      <c r="N248" s="13" t="s">
        <v>166</v>
      </c>
      <c r="O248" s="13">
        <v>1</v>
      </c>
      <c r="P248" s="13"/>
      <c r="Q248" s="73" t="s">
        <v>495</v>
      </c>
    </row>
    <row r="249" spans="1:17" x14ac:dyDescent="0.3">
      <c r="A249" s="13" t="s">
        <v>192</v>
      </c>
      <c r="B249" s="13" t="s">
        <v>419</v>
      </c>
      <c r="C249" s="13">
        <v>2018</v>
      </c>
      <c r="D249" s="13"/>
      <c r="E249" s="13" t="s">
        <v>469</v>
      </c>
      <c r="F249" s="72">
        <v>824000000</v>
      </c>
      <c r="G249" s="13" t="s">
        <v>123</v>
      </c>
      <c r="H249" s="13"/>
      <c r="I249" s="13" t="s">
        <v>465</v>
      </c>
      <c r="J249" s="13" t="s">
        <v>466</v>
      </c>
      <c r="K249" s="13" t="s">
        <v>310</v>
      </c>
      <c r="L249" s="13"/>
      <c r="M249" s="72">
        <v>824000000</v>
      </c>
      <c r="N249" s="13" t="s">
        <v>466</v>
      </c>
      <c r="O249" s="13">
        <v>1</v>
      </c>
      <c r="P249" s="13"/>
      <c r="Q249" s="73" t="s">
        <v>467</v>
      </c>
    </row>
    <row r="250" spans="1:17" x14ac:dyDescent="0.3">
      <c r="A250" s="13" t="s">
        <v>192</v>
      </c>
      <c r="B250" s="13" t="s">
        <v>419</v>
      </c>
      <c r="C250" s="13">
        <v>2019</v>
      </c>
      <c r="D250" s="13"/>
      <c r="E250" s="13" t="s">
        <v>474</v>
      </c>
      <c r="F250" s="72">
        <v>781000000</v>
      </c>
      <c r="G250" s="13" t="s">
        <v>123</v>
      </c>
      <c r="H250" s="13"/>
      <c r="I250" s="13" t="s">
        <v>470</v>
      </c>
      <c r="J250" s="13" t="s">
        <v>471</v>
      </c>
      <c r="K250" s="13" t="s">
        <v>310</v>
      </c>
      <c r="L250" s="13"/>
      <c r="M250" s="72">
        <v>781000000</v>
      </c>
      <c r="N250" s="13" t="s">
        <v>466</v>
      </c>
      <c r="O250" s="13">
        <v>2</v>
      </c>
      <c r="P250" s="13"/>
      <c r="Q250" s="73" t="s">
        <v>472</v>
      </c>
    </row>
    <row r="251" spans="1:17" x14ac:dyDescent="0.3">
      <c r="A251" s="13" t="s">
        <v>192</v>
      </c>
      <c r="B251" s="13" t="s">
        <v>419</v>
      </c>
      <c r="C251" s="13">
        <v>2020</v>
      </c>
      <c r="D251" s="13"/>
      <c r="E251" s="13" t="s">
        <v>479</v>
      </c>
      <c r="F251" s="72">
        <v>936000000</v>
      </c>
      <c r="G251" s="13" t="s">
        <v>123</v>
      </c>
      <c r="H251" s="13"/>
      <c r="I251" s="13" t="s">
        <v>475</v>
      </c>
      <c r="J251" s="13" t="s">
        <v>476</v>
      </c>
      <c r="K251" s="13" t="s">
        <v>310</v>
      </c>
      <c r="L251" s="13"/>
      <c r="M251" s="72">
        <v>936000000</v>
      </c>
      <c r="N251" s="13" t="s">
        <v>471</v>
      </c>
      <c r="O251" s="13">
        <v>2</v>
      </c>
      <c r="P251" s="13"/>
      <c r="Q251" s="73" t="s">
        <v>477</v>
      </c>
    </row>
    <row r="252" spans="1:17" x14ac:dyDescent="0.3">
      <c r="A252" s="13" t="s">
        <v>192</v>
      </c>
      <c r="B252" s="13" t="s">
        <v>419</v>
      </c>
      <c r="C252" s="13">
        <v>2021</v>
      </c>
      <c r="D252" s="13"/>
      <c r="E252" s="13" t="s">
        <v>484</v>
      </c>
      <c r="F252" s="72">
        <v>1515000000</v>
      </c>
      <c r="G252" s="13" t="s">
        <v>123</v>
      </c>
      <c r="H252" s="13"/>
      <c r="I252" s="13" t="s">
        <v>480</v>
      </c>
      <c r="J252" s="13" t="s">
        <v>481</v>
      </c>
      <c r="K252" s="13" t="s">
        <v>310</v>
      </c>
      <c r="L252" s="13"/>
      <c r="M252" s="72">
        <v>1515000000</v>
      </c>
      <c r="N252" s="13" t="s">
        <v>476</v>
      </c>
      <c r="O252" s="13">
        <v>2</v>
      </c>
      <c r="P252" s="13"/>
      <c r="Q252" s="73" t="s">
        <v>482</v>
      </c>
    </row>
    <row r="253" spans="1:17" x14ac:dyDescent="0.3">
      <c r="A253" s="13" t="s">
        <v>192</v>
      </c>
      <c r="B253" s="13" t="s">
        <v>419</v>
      </c>
      <c r="C253" s="13">
        <v>2022</v>
      </c>
      <c r="D253" s="13"/>
      <c r="E253" s="13" t="s">
        <v>489</v>
      </c>
      <c r="F253" s="72">
        <v>1929000000</v>
      </c>
      <c r="G253" s="13" t="s">
        <v>123</v>
      </c>
      <c r="H253" s="13"/>
      <c r="I253" s="13" t="s">
        <v>485</v>
      </c>
      <c r="J253" s="13" t="s">
        <v>486</v>
      </c>
      <c r="K253" s="13" t="s">
        <v>310</v>
      </c>
      <c r="L253" s="13"/>
      <c r="M253" s="72">
        <v>1929000000</v>
      </c>
      <c r="N253" s="13" t="s">
        <v>481</v>
      </c>
      <c r="O253" s="13">
        <v>2</v>
      </c>
      <c r="P253" s="13"/>
      <c r="Q253" s="73" t="s">
        <v>487</v>
      </c>
    </row>
    <row r="254" spans="1:17" x14ac:dyDescent="0.3">
      <c r="A254" s="13" t="s">
        <v>192</v>
      </c>
      <c r="B254" s="13" t="s">
        <v>419</v>
      </c>
      <c r="C254" s="13">
        <v>2023</v>
      </c>
      <c r="D254" s="13"/>
      <c r="E254" s="13" t="s">
        <v>494</v>
      </c>
      <c r="F254" s="72">
        <v>1866000000</v>
      </c>
      <c r="G254" s="13" t="s">
        <v>123</v>
      </c>
      <c r="H254" s="13"/>
      <c r="I254" s="13" t="s">
        <v>490</v>
      </c>
      <c r="J254" s="13" t="s">
        <v>491</v>
      </c>
      <c r="K254" s="13" t="s">
        <v>310</v>
      </c>
      <c r="L254" s="13"/>
      <c r="M254" s="72">
        <v>1866000000</v>
      </c>
      <c r="N254" s="13" t="s">
        <v>486</v>
      </c>
      <c r="O254" s="13">
        <v>2</v>
      </c>
      <c r="P254" s="13"/>
      <c r="Q254" s="73" t="s">
        <v>492</v>
      </c>
    </row>
    <row r="255" spans="1:17" x14ac:dyDescent="0.3">
      <c r="A255" s="13" t="s">
        <v>192</v>
      </c>
      <c r="B255" s="13" t="s">
        <v>419</v>
      </c>
      <c r="C255" s="13">
        <v>2024</v>
      </c>
      <c r="D255" s="13"/>
      <c r="E255" s="13" t="s">
        <v>497</v>
      </c>
      <c r="F255" s="72">
        <v>1828000000</v>
      </c>
      <c r="G255" s="13" t="s">
        <v>123</v>
      </c>
      <c r="H255" s="13"/>
      <c r="I255" s="13" t="s">
        <v>165</v>
      </c>
      <c r="J255" s="13" t="s">
        <v>166</v>
      </c>
      <c r="K255" s="13" t="s">
        <v>310</v>
      </c>
      <c r="L255" s="13"/>
      <c r="M255" s="72">
        <v>1828000000</v>
      </c>
      <c r="N255" s="13" t="s">
        <v>491</v>
      </c>
      <c r="O255" s="13">
        <v>2</v>
      </c>
      <c r="P255" s="13"/>
      <c r="Q255" s="73" t="s">
        <v>495</v>
      </c>
    </row>
    <row r="256" spans="1:17" x14ac:dyDescent="0.3">
      <c r="A256" s="13" t="s">
        <v>192</v>
      </c>
      <c r="B256" s="13" t="s">
        <v>419</v>
      </c>
      <c r="C256" s="13">
        <v>2025</v>
      </c>
      <c r="D256" s="13"/>
      <c r="E256" s="13" t="s">
        <v>499</v>
      </c>
      <c r="F256" s="72">
        <v>1255000000</v>
      </c>
      <c r="G256" s="13" t="s">
        <v>123</v>
      </c>
      <c r="H256" s="13"/>
      <c r="I256" s="13" t="s">
        <v>165</v>
      </c>
      <c r="J256" s="13" t="s">
        <v>166</v>
      </c>
      <c r="K256" s="13" t="s">
        <v>310</v>
      </c>
      <c r="L256" s="13"/>
      <c r="M256" s="72">
        <v>1255000000</v>
      </c>
      <c r="N256" s="13" t="s">
        <v>166</v>
      </c>
      <c r="O256" s="13">
        <v>1</v>
      </c>
      <c r="P256" s="13"/>
      <c r="Q256" s="73" t="s">
        <v>495</v>
      </c>
    </row>
    <row r="257" spans="1:17" x14ac:dyDescent="0.3">
      <c r="A257" s="13" t="s">
        <v>192</v>
      </c>
      <c r="B257" s="13" t="s">
        <v>421</v>
      </c>
      <c r="C257" s="13">
        <v>2019</v>
      </c>
      <c r="D257" s="13"/>
      <c r="E257" s="13" t="s">
        <v>474</v>
      </c>
      <c r="F257" s="72">
        <v>820000000</v>
      </c>
      <c r="G257" s="13" t="s">
        <v>124</v>
      </c>
      <c r="H257" s="13"/>
      <c r="I257" s="13" t="s">
        <v>465</v>
      </c>
      <c r="J257" s="13" t="s">
        <v>466</v>
      </c>
      <c r="K257" s="13" t="s">
        <v>310</v>
      </c>
      <c r="L257" s="13"/>
      <c r="M257" s="72">
        <v>820000000</v>
      </c>
      <c r="N257" s="13" t="s">
        <v>466</v>
      </c>
      <c r="O257" s="13">
        <v>1</v>
      </c>
      <c r="P257" s="13"/>
      <c r="Q257" s="73" t="s">
        <v>467</v>
      </c>
    </row>
    <row r="258" spans="1:17" x14ac:dyDescent="0.3">
      <c r="A258" s="13" t="s">
        <v>192</v>
      </c>
      <c r="B258" s="13" t="s">
        <v>421</v>
      </c>
      <c r="C258" s="13">
        <v>2020</v>
      </c>
      <c r="D258" s="13"/>
      <c r="E258" s="13" t="s">
        <v>479</v>
      </c>
      <c r="F258" s="72">
        <v>1003000000</v>
      </c>
      <c r="G258" s="13" t="s">
        <v>124</v>
      </c>
      <c r="H258" s="13"/>
      <c r="I258" s="13" t="s">
        <v>470</v>
      </c>
      <c r="J258" s="13" t="s">
        <v>471</v>
      </c>
      <c r="K258" s="13" t="s">
        <v>310</v>
      </c>
      <c r="L258" s="13"/>
      <c r="M258" s="72">
        <v>1003000000</v>
      </c>
      <c r="N258" s="13" t="s">
        <v>471</v>
      </c>
      <c r="O258" s="13">
        <v>1</v>
      </c>
      <c r="P258" s="13"/>
      <c r="Q258" s="73" t="s">
        <v>472</v>
      </c>
    </row>
    <row r="259" spans="1:17" x14ac:dyDescent="0.3">
      <c r="A259" s="13" t="s">
        <v>192</v>
      </c>
      <c r="B259" s="13" t="s">
        <v>421</v>
      </c>
      <c r="C259" s="13">
        <v>2021</v>
      </c>
      <c r="D259" s="13"/>
      <c r="E259" s="13" t="s">
        <v>484</v>
      </c>
      <c r="F259" s="72">
        <v>1619000000</v>
      </c>
      <c r="G259" s="13" t="s">
        <v>124</v>
      </c>
      <c r="H259" s="13"/>
      <c r="I259" s="13" t="s">
        <v>475</v>
      </c>
      <c r="J259" s="13" t="s">
        <v>476</v>
      </c>
      <c r="K259" s="13" t="s">
        <v>310</v>
      </c>
      <c r="L259" s="13"/>
      <c r="M259" s="72">
        <v>1619000000</v>
      </c>
      <c r="N259" s="13" t="s">
        <v>476</v>
      </c>
      <c r="O259" s="13">
        <v>1</v>
      </c>
      <c r="P259" s="13"/>
      <c r="Q259" s="73" t="s">
        <v>477</v>
      </c>
    </row>
    <row r="260" spans="1:17" x14ac:dyDescent="0.3">
      <c r="A260" s="13" t="s">
        <v>192</v>
      </c>
      <c r="B260" s="13" t="s">
        <v>421</v>
      </c>
      <c r="C260" s="13">
        <v>2022</v>
      </c>
      <c r="D260" s="13"/>
      <c r="E260" s="13" t="s">
        <v>489</v>
      </c>
      <c r="F260" s="72">
        <v>2086000000</v>
      </c>
      <c r="G260" s="13" t="s">
        <v>124</v>
      </c>
      <c r="H260" s="13"/>
      <c r="I260" s="13" t="s">
        <v>480</v>
      </c>
      <c r="J260" s="13" t="s">
        <v>481</v>
      </c>
      <c r="K260" s="13" t="s">
        <v>310</v>
      </c>
      <c r="L260" s="13"/>
      <c r="M260" s="72">
        <v>2086000000</v>
      </c>
      <c r="N260" s="13" t="s">
        <v>481</v>
      </c>
      <c r="O260" s="13">
        <v>1</v>
      </c>
      <c r="P260" s="13"/>
      <c r="Q260" s="73" t="s">
        <v>482</v>
      </c>
    </row>
    <row r="261" spans="1:17" x14ac:dyDescent="0.3">
      <c r="A261" s="13" t="s">
        <v>192</v>
      </c>
      <c r="B261" s="13" t="s">
        <v>421</v>
      </c>
      <c r="C261" s="13">
        <v>2023</v>
      </c>
      <c r="D261" s="13"/>
      <c r="E261" s="13" t="s">
        <v>494</v>
      </c>
      <c r="F261" s="72">
        <v>2039000000</v>
      </c>
      <c r="G261" s="13" t="s">
        <v>124</v>
      </c>
      <c r="H261" s="13"/>
      <c r="I261" s="13" t="s">
        <v>485</v>
      </c>
      <c r="J261" s="13" t="s">
        <v>486</v>
      </c>
      <c r="K261" s="13" t="s">
        <v>310</v>
      </c>
      <c r="L261" s="13"/>
      <c r="M261" s="72">
        <v>2039000000</v>
      </c>
      <c r="N261" s="13" t="s">
        <v>486</v>
      </c>
      <c r="O261" s="13">
        <v>1</v>
      </c>
      <c r="P261" s="13"/>
      <c r="Q261" s="73" t="s">
        <v>487</v>
      </c>
    </row>
    <row r="262" spans="1:17" x14ac:dyDescent="0.3">
      <c r="A262" s="13" t="s">
        <v>192</v>
      </c>
      <c r="B262" s="13" t="s">
        <v>421</v>
      </c>
      <c r="C262" s="13">
        <v>2024</v>
      </c>
      <c r="D262" s="13"/>
      <c r="E262" s="13" t="s">
        <v>497</v>
      </c>
      <c r="F262" s="72">
        <v>1996000000</v>
      </c>
      <c r="G262" s="13" t="s">
        <v>124</v>
      </c>
      <c r="H262" s="13"/>
      <c r="I262" s="13" t="s">
        <v>490</v>
      </c>
      <c r="J262" s="13" t="s">
        <v>491</v>
      </c>
      <c r="K262" s="13" t="s">
        <v>310</v>
      </c>
      <c r="L262" s="13"/>
      <c r="M262" s="72">
        <v>1996000000</v>
      </c>
      <c r="N262" s="13" t="s">
        <v>491</v>
      </c>
      <c r="O262" s="13">
        <v>1</v>
      </c>
      <c r="P262" s="13"/>
      <c r="Q262" s="73" t="s">
        <v>492</v>
      </c>
    </row>
    <row r="263" spans="1:17" x14ac:dyDescent="0.3">
      <c r="A263" s="13" t="s">
        <v>192</v>
      </c>
      <c r="B263" s="13" t="s">
        <v>421</v>
      </c>
      <c r="C263" s="13">
        <v>2025</v>
      </c>
      <c r="D263" s="13"/>
      <c r="E263" s="13" t="s">
        <v>499</v>
      </c>
      <c r="F263" s="72">
        <v>1691000000</v>
      </c>
      <c r="G263" s="13" t="s">
        <v>124</v>
      </c>
      <c r="H263" s="13"/>
      <c r="I263" s="13" t="s">
        <v>165</v>
      </c>
      <c r="J263" s="13" t="s">
        <v>166</v>
      </c>
      <c r="K263" s="13" t="s">
        <v>310</v>
      </c>
      <c r="L263" s="13"/>
      <c r="M263" s="72">
        <v>1691000000</v>
      </c>
      <c r="N263" s="13" t="s">
        <v>166</v>
      </c>
      <c r="O263" s="13">
        <v>1</v>
      </c>
      <c r="P263" s="13"/>
      <c r="Q263" s="73" t="s">
        <v>495</v>
      </c>
    </row>
    <row r="264" spans="1:17" x14ac:dyDescent="0.3">
      <c r="A264" s="13" t="s">
        <v>192</v>
      </c>
      <c r="B264" s="13" t="s">
        <v>427</v>
      </c>
      <c r="C264" s="13">
        <v>2015</v>
      </c>
      <c r="D264" s="13"/>
      <c r="E264" s="13" t="s">
        <v>453</v>
      </c>
      <c r="F264" s="72">
        <v>1272000000</v>
      </c>
      <c r="G264" s="13" t="s">
        <v>110</v>
      </c>
      <c r="H264" s="13"/>
      <c r="I264" s="13" t="s">
        <v>500</v>
      </c>
      <c r="J264" s="13" t="s">
        <v>501</v>
      </c>
      <c r="K264" s="13" t="s">
        <v>310</v>
      </c>
      <c r="L264" s="13"/>
      <c r="M264" s="72">
        <v>1272000000</v>
      </c>
      <c r="N264" s="13" t="s">
        <v>454</v>
      </c>
      <c r="O264" s="13">
        <v>2</v>
      </c>
      <c r="P264" s="13"/>
      <c r="Q264" s="73" t="s">
        <v>502</v>
      </c>
    </row>
    <row r="265" spans="1:17" x14ac:dyDescent="0.3">
      <c r="A265" s="13" t="s">
        <v>192</v>
      </c>
      <c r="B265" s="13" t="s">
        <v>427</v>
      </c>
      <c r="C265" s="13">
        <v>2016</v>
      </c>
      <c r="D265" s="13"/>
      <c r="E265" s="13" t="s">
        <v>457</v>
      </c>
      <c r="F265" s="72">
        <v>1291000000</v>
      </c>
      <c r="G265" s="13" t="s">
        <v>110</v>
      </c>
      <c r="H265" s="13"/>
      <c r="I265" s="13" t="s">
        <v>172</v>
      </c>
      <c r="J265" s="13" t="s">
        <v>173</v>
      </c>
      <c r="K265" s="13" t="s">
        <v>310</v>
      </c>
      <c r="L265" s="13"/>
      <c r="M265" s="72">
        <v>1291000000</v>
      </c>
      <c r="N265" s="13" t="s">
        <v>501</v>
      </c>
      <c r="O265" s="13">
        <v>3</v>
      </c>
      <c r="P265" s="13"/>
      <c r="Q265" s="73" t="s">
        <v>455</v>
      </c>
    </row>
    <row r="266" spans="1:17" x14ac:dyDescent="0.3">
      <c r="A266" s="13" t="s">
        <v>192</v>
      </c>
      <c r="B266" s="13" t="s">
        <v>427</v>
      </c>
      <c r="C266" s="13">
        <v>2017</v>
      </c>
      <c r="D266" s="13"/>
      <c r="E266" s="13" t="s">
        <v>463</v>
      </c>
      <c r="F266" s="72">
        <v>1248000000</v>
      </c>
      <c r="G266" s="13" t="s">
        <v>110</v>
      </c>
      <c r="H266" s="13"/>
      <c r="I266" s="13" t="s">
        <v>459</v>
      </c>
      <c r="J266" s="13" t="s">
        <v>460</v>
      </c>
      <c r="K266" s="13" t="s">
        <v>310</v>
      </c>
      <c r="L266" s="13"/>
      <c r="M266" s="72">
        <v>1248000000</v>
      </c>
      <c r="N266" s="13" t="s">
        <v>503</v>
      </c>
      <c r="O266" s="13">
        <v>3</v>
      </c>
      <c r="P266" s="13"/>
      <c r="Q266" s="73" t="s">
        <v>461</v>
      </c>
    </row>
    <row r="267" spans="1:17" x14ac:dyDescent="0.3">
      <c r="A267" s="13" t="s">
        <v>192</v>
      </c>
      <c r="B267" s="13" t="s">
        <v>427</v>
      </c>
      <c r="C267" s="13">
        <v>2018</v>
      </c>
      <c r="D267" s="13"/>
      <c r="E267" s="13" t="s">
        <v>469</v>
      </c>
      <c r="F267" s="72">
        <v>1277000000</v>
      </c>
      <c r="G267" s="13" t="s">
        <v>110</v>
      </c>
      <c r="H267" s="13"/>
      <c r="I267" s="13" t="s">
        <v>465</v>
      </c>
      <c r="J267" s="13" t="s">
        <v>466</v>
      </c>
      <c r="K267" s="13" t="s">
        <v>310</v>
      </c>
      <c r="L267" s="13"/>
      <c r="M267" s="72">
        <v>1277000000</v>
      </c>
      <c r="N267" s="13" t="s">
        <v>460</v>
      </c>
      <c r="O267" s="13">
        <v>2</v>
      </c>
      <c r="P267" s="13"/>
      <c r="Q267" s="73" t="s">
        <v>467</v>
      </c>
    </row>
    <row r="268" spans="1:17" x14ac:dyDescent="0.3">
      <c r="A268" s="13" t="s">
        <v>192</v>
      </c>
      <c r="B268" s="13" t="s">
        <v>427</v>
      </c>
      <c r="C268" s="13">
        <v>2019</v>
      </c>
      <c r="D268" s="13"/>
      <c r="E268" s="13" t="s">
        <v>474</v>
      </c>
      <c r="F268" s="72">
        <v>1380000000</v>
      </c>
      <c r="G268" s="13" t="s">
        <v>110</v>
      </c>
      <c r="H268" s="13"/>
      <c r="I268" s="13" t="s">
        <v>470</v>
      </c>
      <c r="J268" s="13" t="s">
        <v>471</v>
      </c>
      <c r="K268" s="13" t="s">
        <v>310</v>
      </c>
      <c r="L268" s="13"/>
      <c r="M268" s="72">
        <v>1380000000</v>
      </c>
      <c r="N268" s="13" t="s">
        <v>466</v>
      </c>
      <c r="O268" s="13">
        <v>2</v>
      </c>
      <c r="P268" s="13"/>
      <c r="Q268" s="73" t="s">
        <v>472</v>
      </c>
    </row>
    <row r="269" spans="1:17" x14ac:dyDescent="0.3">
      <c r="A269" s="13" t="s">
        <v>192</v>
      </c>
      <c r="B269" s="13" t="s">
        <v>427</v>
      </c>
      <c r="C269" s="13">
        <v>2020</v>
      </c>
      <c r="D269" s="13"/>
      <c r="E269" s="13" t="s">
        <v>479</v>
      </c>
      <c r="F269" s="72">
        <v>1373000000</v>
      </c>
      <c r="G269" s="13" t="s">
        <v>110</v>
      </c>
      <c r="H269" s="13"/>
      <c r="I269" s="13" t="s">
        <v>475</v>
      </c>
      <c r="J269" s="13" t="s">
        <v>476</v>
      </c>
      <c r="K269" s="13" t="s">
        <v>310</v>
      </c>
      <c r="L269" s="13"/>
      <c r="M269" s="72">
        <v>1373000000</v>
      </c>
      <c r="N269" s="13" t="s">
        <v>471</v>
      </c>
      <c r="O269" s="13">
        <v>2</v>
      </c>
      <c r="P269" s="13"/>
      <c r="Q269" s="73" t="s">
        <v>477</v>
      </c>
    </row>
    <row r="270" spans="1:17" x14ac:dyDescent="0.3">
      <c r="A270" s="13" t="s">
        <v>192</v>
      </c>
      <c r="B270" s="13" t="s">
        <v>427</v>
      </c>
      <c r="C270" s="13">
        <v>2021</v>
      </c>
      <c r="D270" s="13"/>
      <c r="E270" s="13" t="s">
        <v>484</v>
      </c>
      <c r="F270" s="72">
        <v>1570000000</v>
      </c>
      <c r="G270" s="13" t="s">
        <v>110</v>
      </c>
      <c r="H270" s="13"/>
      <c r="I270" s="13" t="s">
        <v>480</v>
      </c>
      <c r="J270" s="13" t="s">
        <v>481</v>
      </c>
      <c r="K270" s="13" t="s">
        <v>310</v>
      </c>
      <c r="L270" s="13"/>
      <c r="M270" s="72">
        <v>1570000000</v>
      </c>
      <c r="N270" s="13" t="s">
        <v>476</v>
      </c>
      <c r="O270" s="13">
        <v>2</v>
      </c>
      <c r="P270" s="13"/>
      <c r="Q270" s="73" t="s">
        <v>482</v>
      </c>
    </row>
    <row r="271" spans="1:17" x14ac:dyDescent="0.3">
      <c r="A271" s="13" t="s">
        <v>192</v>
      </c>
      <c r="B271" s="13" t="s">
        <v>427</v>
      </c>
      <c r="C271" s="13">
        <v>2022</v>
      </c>
      <c r="D271" s="13"/>
      <c r="E271" s="13" t="s">
        <v>489</v>
      </c>
      <c r="F271" s="72">
        <v>2196000000</v>
      </c>
      <c r="G271" s="13" t="s">
        <v>110</v>
      </c>
      <c r="H271" s="13"/>
      <c r="I271" s="13" t="s">
        <v>485</v>
      </c>
      <c r="J271" s="13" t="s">
        <v>486</v>
      </c>
      <c r="K271" s="13" t="s">
        <v>310</v>
      </c>
      <c r="L271" s="13"/>
      <c r="M271" s="72">
        <v>2196000000</v>
      </c>
      <c r="N271" s="13" t="s">
        <v>481</v>
      </c>
      <c r="O271" s="13">
        <v>2</v>
      </c>
      <c r="P271" s="13"/>
      <c r="Q271" s="73" t="s">
        <v>487</v>
      </c>
    </row>
    <row r="272" spans="1:17" x14ac:dyDescent="0.3">
      <c r="A272" s="13" t="s">
        <v>192</v>
      </c>
      <c r="B272" s="13" t="s">
        <v>427</v>
      </c>
      <c r="C272" s="13">
        <v>2023</v>
      </c>
      <c r="D272" s="13"/>
      <c r="E272" s="13" t="s">
        <v>494</v>
      </c>
      <c r="F272" s="72">
        <v>2309000000</v>
      </c>
      <c r="G272" s="13" t="s">
        <v>110</v>
      </c>
      <c r="H272" s="13"/>
      <c r="I272" s="13" t="s">
        <v>490</v>
      </c>
      <c r="J272" s="13" t="s">
        <v>491</v>
      </c>
      <c r="K272" s="13" t="s">
        <v>310</v>
      </c>
      <c r="L272" s="13"/>
      <c r="M272" s="72">
        <v>2309000000</v>
      </c>
      <c r="N272" s="13" t="s">
        <v>486</v>
      </c>
      <c r="O272" s="13">
        <v>2</v>
      </c>
      <c r="P272" s="13"/>
      <c r="Q272" s="73" t="s">
        <v>492</v>
      </c>
    </row>
    <row r="273" spans="1:17" x14ac:dyDescent="0.3">
      <c r="A273" s="13" t="s">
        <v>192</v>
      </c>
      <c r="B273" s="13" t="s">
        <v>427</v>
      </c>
      <c r="C273" s="13">
        <v>2024</v>
      </c>
      <c r="D273" s="13"/>
      <c r="E273" s="13" t="s">
        <v>497</v>
      </c>
      <c r="F273" s="72">
        <v>2404000000</v>
      </c>
      <c r="G273" s="13" t="s">
        <v>110</v>
      </c>
      <c r="H273" s="13"/>
      <c r="I273" s="13" t="s">
        <v>165</v>
      </c>
      <c r="J273" s="13" t="s">
        <v>166</v>
      </c>
      <c r="K273" s="13" t="s">
        <v>310</v>
      </c>
      <c r="L273" s="13"/>
      <c r="M273" s="72">
        <v>2404000000</v>
      </c>
      <c r="N273" s="13" t="s">
        <v>491</v>
      </c>
      <c r="O273" s="13">
        <v>2</v>
      </c>
      <c r="P273" s="13"/>
      <c r="Q273" s="73" t="s">
        <v>495</v>
      </c>
    </row>
    <row r="274" spans="1:17" x14ac:dyDescent="0.3">
      <c r="A274" s="13" t="s">
        <v>192</v>
      </c>
      <c r="B274" s="13" t="s">
        <v>427</v>
      </c>
      <c r="C274" s="13">
        <v>2025</v>
      </c>
      <c r="D274" s="13"/>
      <c r="E274" s="13" t="s">
        <v>499</v>
      </c>
      <c r="F274" s="72">
        <v>2553000000</v>
      </c>
      <c r="G274" s="13" t="s">
        <v>110</v>
      </c>
      <c r="H274" s="13"/>
      <c r="I274" s="13" t="s">
        <v>165</v>
      </c>
      <c r="J274" s="13" t="s">
        <v>166</v>
      </c>
      <c r="K274" s="13" t="s">
        <v>310</v>
      </c>
      <c r="L274" s="13"/>
      <c r="M274" s="72">
        <v>2553000000</v>
      </c>
      <c r="N274" s="13" t="s">
        <v>166</v>
      </c>
      <c r="O274" s="13">
        <v>1</v>
      </c>
      <c r="P274" s="13"/>
      <c r="Q274" s="73" t="s">
        <v>495</v>
      </c>
    </row>
    <row r="275" spans="1:17" x14ac:dyDescent="0.3">
      <c r="A275" s="13" t="s">
        <v>192</v>
      </c>
      <c r="B275" s="13" t="s">
        <v>504</v>
      </c>
      <c r="C275" s="13">
        <v>2015</v>
      </c>
      <c r="D275" s="13"/>
      <c r="E275" s="13" t="s">
        <v>453</v>
      </c>
      <c r="F275" s="72">
        <v>2370000000</v>
      </c>
      <c r="G275" s="13" t="s">
        <v>126</v>
      </c>
      <c r="H275" s="13"/>
      <c r="I275" s="13" t="s">
        <v>500</v>
      </c>
      <c r="J275" s="13" t="s">
        <v>501</v>
      </c>
      <c r="K275" s="13" t="s">
        <v>310</v>
      </c>
      <c r="L275" s="13"/>
      <c r="M275" s="72">
        <v>2370000000</v>
      </c>
      <c r="N275" s="13" t="s">
        <v>454</v>
      </c>
      <c r="O275" s="13">
        <v>2</v>
      </c>
      <c r="P275" s="13"/>
      <c r="Q275" s="73" t="s">
        <v>502</v>
      </c>
    </row>
    <row r="276" spans="1:17" x14ac:dyDescent="0.3">
      <c r="A276" s="13" t="s">
        <v>192</v>
      </c>
      <c r="B276" s="13" t="s">
        <v>504</v>
      </c>
      <c r="C276" s="13">
        <v>2016</v>
      </c>
      <c r="D276" s="13"/>
      <c r="E276" s="13" t="s">
        <v>457</v>
      </c>
      <c r="F276" s="72">
        <v>2252000000</v>
      </c>
      <c r="G276" s="13" t="s">
        <v>126</v>
      </c>
      <c r="H276" s="13"/>
      <c r="I276" s="13" t="s">
        <v>172</v>
      </c>
      <c r="J276" s="13" t="s">
        <v>173</v>
      </c>
      <c r="K276" s="13" t="s">
        <v>310</v>
      </c>
      <c r="L276" s="13"/>
      <c r="M276" s="72">
        <v>2252000000</v>
      </c>
      <c r="N276" s="13" t="s">
        <v>501</v>
      </c>
      <c r="O276" s="13">
        <v>3</v>
      </c>
      <c r="P276" s="13"/>
      <c r="Q276" s="73" t="s">
        <v>455</v>
      </c>
    </row>
    <row r="277" spans="1:17" x14ac:dyDescent="0.3">
      <c r="A277" s="13" t="s">
        <v>192</v>
      </c>
      <c r="B277" s="13" t="s">
        <v>504</v>
      </c>
      <c r="C277" s="13">
        <v>2017</v>
      </c>
      <c r="D277" s="13"/>
      <c r="E277" s="13" t="s">
        <v>463</v>
      </c>
      <c r="F277" s="72">
        <v>3560000000</v>
      </c>
      <c r="G277" s="13" t="s">
        <v>126</v>
      </c>
      <c r="H277" s="13"/>
      <c r="I277" s="13" t="s">
        <v>459</v>
      </c>
      <c r="J277" s="13" t="s">
        <v>460</v>
      </c>
      <c r="K277" s="13" t="s">
        <v>310</v>
      </c>
      <c r="L277" s="13"/>
      <c r="M277" s="72">
        <v>3560000000</v>
      </c>
      <c r="N277" s="13" t="s">
        <v>503</v>
      </c>
      <c r="O277" s="13">
        <v>3</v>
      </c>
      <c r="P277" s="13"/>
      <c r="Q277" s="73" t="s">
        <v>461</v>
      </c>
    </row>
    <row r="278" spans="1:17" x14ac:dyDescent="0.3">
      <c r="A278" s="13" t="s">
        <v>192</v>
      </c>
      <c r="B278" s="13" t="s">
        <v>504</v>
      </c>
      <c r="C278" s="13">
        <v>2018</v>
      </c>
      <c r="D278" s="13"/>
      <c r="E278" s="13" t="s">
        <v>469</v>
      </c>
      <c r="F278" s="72">
        <v>3157000000</v>
      </c>
      <c r="G278" s="13" t="s">
        <v>126</v>
      </c>
      <c r="H278" s="13"/>
      <c r="I278" s="13" t="s">
        <v>465</v>
      </c>
      <c r="J278" s="13" t="s">
        <v>466</v>
      </c>
      <c r="K278" s="13" t="s">
        <v>310</v>
      </c>
      <c r="L278" s="13"/>
      <c r="M278" s="72">
        <v>3157000000</v>
      </c>
      <c r="N278" s="13" t="s">
        <v>460</v>
      </c>
      <c r="O278" s="13">
        <v>2</v>
      </c>
      <c r="P278" s="13"/>
      <c r="Q278" s="73" t="s">
        <v>467</v>
      </c>
    </row>
    <row r="279" spans="1:17" x14ac:dyDescent="0.3">
      <c r="A279" s="13" t="s">
        <v>192</v>
      </c>
      <c r="B279" s="13" t="s">
        <v>505</v>
      </c>
      <c r="C279" s="13">
        <v>2015</v>
      </c>
      <c r="D279" s="13"/>
      <c r="E279" s="13" t="s">
        <v>453</v>
      </c>
      <c r="F279" s="72">
        <v>9709000000</v>
      </c>
      <c r="G279" s="13" t="s">
        <v>128</v>
      </c>
      <c r="H279" s="13"/>
      <c r="I279" s="13" t="s">
        <v>500</v>
      </c>
      <c r="J279" s="13" t="s">
        <v>501</v>
      </c>
      <c r="K279" s="13" t="s">
        <v>310</v>
      </c>
      <c r="L279" s="13" t="s">
        <v>408</v>
      </c>
      <c r="M279" s="72">
        <v>9708000000</v>
      </c>
      <c r="N279" s="13" t="s">
        <v>454</v>
      </c>
      <c r="O279" s="13">
        <v>2</v>
      </c>
      <c r="P279" s="13"/>
      <c r="Q279" s="73" t="s">
        <v>502</v>
      </c>
    </row>
    <row r="280" spans="1:17" x14ac:dyDescent="0.3">
      <c r="A280" s="13" t="s">
        <v>192</v>
      </c>
      <c r="B280" s="13" t="s">
        <v>505</v>
      </c>
      <c r="C280" s="13">
        <v>2016</v>
      </c>
      <c r="D280" s="13"/>
      <c r="E280" s="13" t="s">
        <v>457</v>
      </c>
      <c r="F280" s="72">
        <v>11825000000</v>
      </c>
      <c r="G280" s="13" t="s">
        <v>128</v>
      </c>
      <c r="H280" s="13"/>
      <c r="I280" s="13" t="s">
        <v>172</v>
      </c>
      <c r="J280" s="13" t="s">
        <v>173</v>
      </c>
      <c r="K280" s="13" t="s">
        <v>310</v>
      </c>
      <c r="L280" s="13"/>
      <c r="M280" s="72">
        <v>11825000000</v>
      </c>
      <c r="N280" s="13" t="s">
        <v>501</v>
      </c>
      <c r="O280" s="13">
        <v>3</v>
      </c>
      <c r="P280" s="13"/>
      <c r="Q280" s="73" t="s">
        <v>455</v>
      </c>
    </row>
    <row r="281" spans="1:17" x14ac:dyDescent="0.3">
      <c r="A281" s="13" t="s">
        <v>192</v>
      </c>
      <c r="B281" s="13" t="s">
        <v>505</v>
      </c>
      <c r="C281" s="13">
        <v>2017</v>
      </c>
      <c r="D281" s="13"/>
      <c r="E281" s="13" t="s">
        <v>463</v>
      </c>
      <c r="F281" s="72">
        <v>12029000000</v>
      </c>
      <c r="G281" s="13" t="s">
        <v>128</v>
      </c>
      <c r="H281" s="13"/>
      <c r="I281" s="13" t="s">
        <v>459</v>
      </c>
      <c r="J281" s="13" t="s">
        <v>460</v>
      </c>
      <c r="K281" s="13" t="s">
        <v>310</v>
      </c>
      <c r="L281" s="13"/>
      <c r="M281" s="72">
        <v>12029000000</v>
      </c>
      <c r="N281" s="13" t="s">
        <v>503</v>
      </c>
      <c r="O281" s="13">
        <v>3</v>
      </c>
      <c r="P281" s="13"/>
      <c r="Q281" s="73" t="s">
        <v>461</v>
      </c>
    </row>
    <row r="282" spans="1:17" x14ac:dyDescent="0.3">
      <c r="A282" s="13" t="s">
        <v>192</v>
      </c>
      <c r="B282" s="13" t="s">
        <v>505</v>
      </c>
      <c r="C282" s="13">
        <v>2018</v>
      </c>
      <c r="D282" s="13"/>
      <c r="E282" s="13" t="s">
        <v>469</v>
      </c>
      <c r="F282" s="72">
        <v>12072000000</v>
      </c>
      <c r="G282" s="13" t="s">
        <v>128</v>
      </c>
      <c r="H282" s="13"/>
      <c r="I282" s="13" t="s">
        <v>465</v>
      </c>
      <c r="J282" s="13" t="s">
        <v>466</v>
      </c>
      <c r="K282" s="13" t="s">
        <v>310</v>
      </c>
      <c r="L282" s="13"/>
      <c r="M282" s="72">
        <v>12072000000</v>
      </c>
      <c r="N282" s="13" t="s">
        <v>460</v>
      </c>
      <c r="O282" s="13">
        <v>2</v>
      </c>
      <c r="P282" s="13"/>
      <c r="Q282" s="73" t="s">
        <v>467</v>
      </c>
    </row>
    <row r="283" spans="1:17" x14ac:dyDescent="0.3">
      <c r="A283" s="13" t="s">
        <v>192</v>
      </c>
      <c r="B283" s="13" t="s">
        <v>428</v>
      </c>
      <c r="C283" s="13">
        <v>2015</v>
      </c>
      <c r="D283" s="13"/>
      <c r="E283" s="13" t="s">
        <v>453</v>
      </c>
      <c r="F283" s="72">
        <v>2318000000</v>
      </c>
      <c r="G283" s="13" t="s">
        <v>80</v>
      </c>
      <c r="H283" s="13"/>
      <c r="I283" s="13" t="s">
        <v>500</v>
      </c>
      <c r="J283" s="13" t="s">
        <v>501</v>
      </c>
      <c r="K283" s="13" t="s">
        <v>310</v>
      </c>
      <c r="L283" s="13"/>
      <c r="M283" s="72">
        <v>2318000000</v>
      </c>
      <c r="N283" s="13" t="s">
        <v>454</v>
      </c>
      <c r="O283" s="13">
        <v>2</v>
      </c>
      <c r="P283" s="13"/>
      <c r="Q283" s="73" t="s">
        <v>502</v>
      </c>
    </row>
    <row r="284" spans="1:17" x14ac:dyDescent="0.3">
      <c r="A284" s="13" t="s">
        <v>192</v>
      </c>
      <c r="B284" s="13" t="s">
        <v>428</v>
      </c>
      <c r="C284" s="13">
        <v>2016</v>
      </c>
      <c r="D284" s="13"/>
      <c r="E284" s="13" t="s">
        <v>457</v>
      </c>
      <c r="F284" s="72">
        <v>2197000000</v>
      </c>
      <c r="G284" s="13" t="s">
        <v>80</v>
      </c>
      <c r="H284" s="13"/>
      <c r="I284" s="13" t="s">
        <v>172</v>
      </c>
      <c r="J284" s="13" t="s">
        <v>173</v>
      </c>
      <c r="K284" s="13" t="s">
        <v>310</v>
      </c>
      <c r="L284" s="13"/>
      <c r="M284" s="72">
        <v>2197000000</v>
      </c>
      <c r="N284" s="13" t="s">
        <v>501</v>
      </c>
      <c r="O284" s="13">
        <v>3</v>
      </c>
      <c r="P284" s="13"/>
      <c r="Q284" s="73" t="s">
        <v>455</v>
      </c>
    </row>
    <row r="285" spans="1:17" x14ac:dyDescent="0.3">
      <c r="A285" s="13" t="s">
        <v>192</v>
      </c>
      <c r="B285" s="13" t="s">
        <v>428</v>
      </c>
      <c r="C285" s="13">
        <v>2017</v>
      </c>
      <c r="D285" s="13"/>
      <c r="E285" s="13" t="s">
        <v>463</v>
      </c>
      <c r="F285" s="72">
        <v>3509000000</v>
      </c>
      <c r="G285" s="13" t="s">
        <v>80</v>
      </c>
      <c r="H285" s="13"/>
      <c r="I285" s="13" t="s">
        <v>459</v>
      </c>
      <c r="J285" s="13" t="s">
        <v>460</v>
      </c>
      <c r="K285" s="13" t="s">
        <v>310</v>
      </c>
      <c r="L285" s="13"/>
      <c r="M285" s="72">
        <v>3509000000</v>
      </c>
      <c r="N285" s="13" t="s">
        <v>503</v>
      </c>
      <c r="O285" s="13">
        <v>3</v>
      </c>
      <c r="P285" s="13"/>
      <c r="Q285" s="73" t="s">
        <v>461</v>
      </c>
    </row>
    <row r="286" spans="1:17" x14ac:dyDescent="0.3">
      <c r="A286" s="13" t="s">
        <v>192</v>
      </c>
      <c r="B286" s="13" t="s">
        <v>428</v>
      </c>
      <c r="C286" s="13">
        <v>2018</v>
      </c>
      <c r="D286" s="13"/>
      <c r="E286" s="13" t="s">
        <v>469</v>
      </c>
      <c r="F286" s="72">
        <v>3103000000</v>
      </c>
      <c r="G286" s="13" t="s">
        <v>80</v>
      </c>
      <c r="H286" s="13"/>
      <c r="I286" s="13" t="s">
        <v>465</v>
      </c>
      <c r="J286" s="13" t="s">
        <v>466</v>
      </c>
      <c r="K286" s="13" t="s">
        <v>310</v>
      </c>
      <c r="L286" s="13"/>
      <c r="M286" s="72">
        <v>3103000000</v>
      </c>
      <c r="N286" s="13" t="s">
        <v>460</v>
      </c>
      <c r="O286" s="13">
        <v>2</v>
      </c>
      <c r="P286" s="13"/>
      <c r="Q286" s="73" t="s">
        <v>467</v>
      </c>
    </row>
    <row r="287" spans="1:17" x14ac:dyDescent="0.3">
      <c r="A287" s="13" t="s">
        <v>192</v>
      </c>
      <c r="B287" s="13" t="s">
        <v>428</v>
      </c>
      <c r="C287" s="13">
        <v>2019</v>
      </c>
      <c r="D287" s="13"/>
      <c r="E287" s="13" t="s">
        <v>474</v>
      </c>
      <c r="F287" s="72">
        <v>1926000000</v>
      </c>
      <c r="G287" s="13" t="s">
        <v>80</v>
      </c>
      <c r="H287" s="13"/>
      <c r="I287" s="13" t="s">
        <v>470</v>
      </c>
      <c r="J287" s="13" t="s">
        <v>471</v>
      </c>
      <c r="K287" s="13" t="s">
        <v>310</v>
      </c>
      <c r="L287" s="13"/>
      <c r="M287" s="72">
        <v>1926000000</v>
      </c>
      <c r="N287" s="13" t="s">
        <v>466</v>
      </c>
      <c r="O287" s="13">
        <v>2</v>
      </c>
      <c r="P287" s="13"/>
      <c r="Q287" s="73" t="s">
        <v>472</v>
      </c>
    </row>
    <row r="288" spans="1:17" x14ac:dyDescent="0.3">
      <c r="A288" s="13" t="s">
        <v>192</v>
      </c>
      <c r="B288" s="13" t="s">
        <v>428</v>
      </c>
      <c r="C288" s="13">
        <v>2020</v>
      </c>
      <c r="D288" s="13"/>
      <c r="E288" s="13" t="s">
        <v>479</v>
      </c>
      <c r="F288" s="72">
        <v>844000000</v>
      </c>
      <c r="G288" s="13" t="s">
        <v>80</v>
      </c>
      <c r="H288" s="13"/>
      <c r="I288" s="13" t="s">
        <v>475</v>
      </c>
      <c r="J288" s="13" t="s">
        <v>476</v>
      </c>
      <c r="K288" s="13" t="s">
        <v>310</v>
      </c>
      <c r="L288" s="13"/>
      <c r="M288" s="72">
        <v>844000000</v>
      </c>
      <c r="N288" s="13" t="s">
        <v>471</v>
      </c>
      <c r="O288" s="13">
        <v>2</v>
      </c>
      <c r="P288" s="13"/>
      <c r="Q288" s="73" t="s">
        <v>477</v>
      </c>
    </row>
    <row r="289" spans="1:17" x14ac:dyDescent="0.3">
      <c r="A289" s="13" t="s">
        <v>192</v>
      </c>
      <c r="B289" s="13" t="s">
        <v>428</v>
      </c>
      <c r="C289" s="13">
        <v>2021</v>
      </c>
      <c r="D289" s="13"/>
      <c r="E289" s="13" t="s">
        <v>484</v>
      </c>
      <c r="F289" s="72">
        <v>451000000</v>
      </c>
      <c r="G289" s="13" t="s">
        <v>80</v>
      </c>
      <c r="H289" s="13"/>
      <c r="I289" s="13" t="s">
        <v>480</v>
      </c>
      <c r="J289" s="13" t="s">
        <v>481</v>
      </c>
      <c r="K289" s="13" t="s">
        <v>310</v>
      </c>
      <c r="L289" s="13"/>
      <c r="M289" s="72">
        <v>451000000</v>
      </c>
      <c r="N289" s="13" t="s">
        <v>476</v>
      </c>
      <c r="O289" s="13">
        <v>2</v>
      </c>
      <c r="P289" s="13"/>
      <c r="Q289" s="73" t="s">
        <v>482</v>
      </c>
    </row>
    <row r="290" spans="1:17" x14ac:dyDescent="0.3">
      <c r="A290" s="13" t="s">
        <v>192</v>
      </c>
      <c r="B290" s="13" t="s">
        <v>428</v>
      </c>
      <c r="C290" s="13">
        <v>2022</v>
      </c>
      <c r="D290" s="13"/>
      <c r="E290" s="13" t="s">
        <v>489</v>
      </c>
      <c r="F290" s="72">
        <v>1153000000</v>
      </c>
      <c r="G290" s="13" t="s">
        <v>80</v>
      </c>
      <c r="H290" s="13"/>
      <c r="I290" s="13" t="s">
        <v>485</v>
      </c>
      <c r="J290" s="13" t="s">
        <v>486</v>
      </c>
      <c r="K290" s="13" t="s">
        <v>310</v>
      </c>
      <c r="L290" s="13"/>
      <c r="M290" s="72">
        <v>1153000000</v>
      </c>
      <c r="N290" s="13" t="s">
        <v>481</v>
      </c>
      <c r="O290" s="13">
        <v>2</v>
      </c>
      <c r="P290" s="13"/>
      <c r="Q290" s="73" t="s">
        <v>487</v>
      </c>
    </row>
    <row r="291" spans="1:17" x14ac:dyDescent="0.3">
      <c r="A291" s="13" t="s">
        <v>192</v>
      </c>
      <c r="B291" s="13" t="s">
        <v>428</v>
      </c>
      <c r="C291" s="13">
        <v>2023</v>
      </c>
      <c r="D291" s="13"/>
      <c r="E291" s="13" t="s">
        <v>494</v>
      </c>
      <c r="F291" s="72">
        <v>25000000</v>
      </c>
      <c r="G291" s="13" t="s">
        <v>80</v>
      </c>
      <c r="H291" s="13"/>
      <c r="I291" s="13" t="s">
        <v>490</v>
      </c>
      <c r="J291" s="13" t="s">
        <v>491</v>
      </c>
      <c r="K291" s="13" t="s">
        <v>310</v>
      </c>
      <c r="L291" s="13"/>
      <c r="M291" s="72">
        <v>25000000</v>
      </c>
      <c r="N291" s="13" t="s">
        <v>486</v>
      </c>
      <c r="O291" s="13">
        <v>2</v>
      </c>
      <c r="P291" s="13"/>
      <c r="Q291" s="73" t="s">
        <v>492</v>
      </c>
    </row>
    <row r="292" spans="1:17" x14ac:dyDescent="0.3">
      <c r="A292" s="13" t="s">
        <v>192</v>
      </c>
      <c r="B292" s="13" t="s">
        <v>428</v>
      </c>
      <c r="C292" s="13">
        <v>2024</v>
      </c>
      <c r="D292" s="13"/>
      <c r="E292" s="13" t="s">
        <v>497</v>
      </c>
      <c r="F292" s="72">
        <v>104000000</v>
      </c>
      <c r="G292" s="13" t="s">
        <v>80</v>
      </c>
      <c r="H292" s="13"/>
      <c r="I292" s="13" t="s">
        <v>165</v>
      </c>
      <c r="J292" s="13" t="s">
        <v>166</v>
      </c>
      <c r="K292" s="13" t="s">
        <v>310</v>
      </c>
      <c r="L292" s="13"/>
      <c r="M292" s="72">
        <v>104000000</v>
      </c>
      <c r="N292" s="13" t="s">
        <v>491</v>
      </c>
      <c r="O292" s="13">
        <v>2</v>
      </c>
      <c r="P292" s="13"/>
      <c r="Q292" s="73" t="s">
        <v>495</v>
      </c>
    </row>
    <row r="293" spans="1:17" x14ac:dyDescent="0.3">
      <c r="A293" s="13" t="s">
        <v>192</v>
      </c>
      <c r="B293" s="13" t="s">
        <v>428</v>
      </c>
      <c r="C293" s="13">
        <v>2025</v>
      </c>
      <c r="D293" s="13"/>
      <c r="E293" s="13" t="s">
        <v>499</v>
      </c>
      <c r="F293" s="72">
        <v>1366000000</v>
      </c>
      <c r="G293" s="13" t="s">
        <v>80</v>
      </c>
      <c r="H293" s="13"/>
      <c r="I293" s="13" t="s">
        <v>165</v>
      </c>
      <c r="J293" s="13" t="s">
        <v>166</v>
      </c>
      <c r="K293" s="13" t="s">
        <v>310</v>
      </c>
      <c r="L293" s="13"/>
      <c r="M293" s="72">
        <v>1366000000</v>
      </c>
      <c r="N293" s="13" t="s">
        <v>166</v>
      </c>
      <c r="O293" s="13">
        <v>1</v>
      </c>
      <c r="P293" s="13"/>
      <c r="Q293" s="73" t="s">
        <v>495</v>
      </c>
    </row>
    <row r="294" spans="1:17" x14ac:dyDescent="0.3">
      <c r="A294" s="13" t="s">
        <v>192</v>
      </c>
      <c r="B294" s="13" t="s">
        <v>429</v>
      </c>
      <c r="C294" s="13">
        <v>2015</v>
      </c>
      <c r="D294" s="13"/>
      <c r="E294" s="13" t="s">
        <v>453</v>
      </c>
      <c r="F294" s="72">
        <v>9078000000</v>
      </c>
      <c r="G294" s="13" t="s">
        <v>82</v>
      </c>
      <c r="H294" s="13"/>
      <c r="I294" s="13" t="s">
        <v>500</v>
      </c>
      <c r="J294" s="13" t="s">
        <v>501</v>
      </c>
      <c r="K294" s="13" t="s">
        <v>310</v>
      </c>
      <c r="L294" s="13"/>
      <c r="M294" s="72">
        <v>9078000000</v>
      </c>
      <c r="N294" s="13" t="s">
        <v>454</v>
      </c>
      <c r="O294" s="13">
        <v>2</v>
      </c>
      <c r="P294" s="13"/>
      <c r="Q294" s="73" t="s">
        <v>502</v>
      </c>
    </row>
    <row r="295" spans="1:17" x14ac:dyDescent="0.3">
      <c r="A295" s="13" t="s">
        <v>192</v>
      </c>
      <c r="B295" s="13" t="s">
        <v>429</v>
      </c>
      <c r="C295" s="13">
        <v>2016</v>
      </c>
      <c r="D295" s="13"/>
      <c r="E295" s="13" t="s">
        <v>457</v>
      </c>
      <c r="F295" s="72">
        <v>11118000000</v>
      </c>
      <c r="G295" s="13" t="s">
        <v>82</v>
      </c>
      <c r="H295" s="13"/>
      <c r="I295" s="13" t="s">
        <v>172</v>
      </c>
      <c r="J295" s="13" t="s">
        <v>173</v>
      </c>
      <c r="K295" s="13" t="s">
        <v>310</v>
      </c>
      <c r="L295" s="13"/>
      <c r="M295" s="72">
        <v>11118000000</v>
      </c>
      <c r="N295" s="13" t="s">
        <v>501</v>
      </c>
      <c r="O295" s="13">
        <v>3</v>
      </c>
      <c r="P295" s="13"/>
      <c r="Q295" s="73" t="s">
        <v>455</v>
      </c>
    </row>
    <row r="296" spans="1:17" x14ac:dyDescent="0.3">
      <c r="A296" s="13" t="s">
        <v>192</v>
      </c>
      <c r="B296" s="13" t="s">
        <v>429</v>
      </c>
      <c r="C296" s="13">
        <v>2017</v>
      </c>
      <c r="D296" s="13"/>
      <c r="E296" s="13" t="s">
        <v>463</v>
      </c>
      <c r="F296" s="72">
        <v>11278000000</v>
      </c>
      <c r="G296" s="13" t="s">
        <v>82</v>
      </c>
      <c r="H296" s="13"/>
      <c r="I296" s="13" t="s">
        <v>459</v>
      </c>
      <c r="J296" s="13" t="s">
        <v>460</v>
      </c>
      <c r="K296" s="13" t="s">
        <v>310</v>
      </c>
      <c r="L296" s="13"/>
      <c r="M296" s="72">
        <v>11278000000</v>
      </c>
      <c r="N296" s="13" t="s">
        <v>503</v>
      </c>
      <c r="O296" s="13">
        <v>3</v>
      </c>
      <c r="P296" s="13"/>
      <c r="Q296" s="73" t="s">
        <v>461</v>
      </c>
    </row>
    <row r="297" spans="1:17" x14ac:dyDescent="0.3">
      <c r="A297" s="13" t="s">
        <v>192</v>
      </c>
      <c r="B297" s="13" t="s">
        <v>429</v>
      </c>
      <c r="C297" s="13">
        <v>2018</v>
      </c>
      <c r="D297" s="13"/>
      <c r="E297" s="13" t="s">
        <v>469</v>
      </c>
      <c r="F297" s="72">
        <v>11248000000</v>
      </c>
      <c r="G297" s="13" t="s">
        <v>82</v>
      </c>
      <c r="H297" s="13"/>
      <c r="I297" s="13" t="s">
        <v>465</v>
      </c>
      <c r="J297" s="13" t="s">
        <v>466</v>
      </c>
      <c r="K297" s="13" t="s">
        <v>310</v>
      </c>
      <c r="L297" s="13"/>
      <c r="M297" s="72">
        <v>11248000000</v>
      </c>
      <c r="N297" s="13" t="s">
        <v>460</v>
      </c>
      <c r="O297" s="13">
        <v>2</v>
      </c>
      <c r="P297" s="13"/>
      <c r="Q297" s="73" t="s">
        <v>467</v>
      </c>
    </row>
    <row r="298" spans="1:17" x14ac:dyDescent="0.3">
      <c r="A298" s="13" t="s">
        <v>192</v>
      </c>
      <c r="B298" s="13" t="s">
        <v>429</v>
      </c>
      <c r="C298" s="13">
        <v>2019</v>
      </c>
      <c r="D298" s="13"/>
      <c r="E298" s="13" t="s">
        <v>474</v>
      </c>
      <c r="F298" s="72">
        <v>11330000000</v>
      </c>
      <c r="G298" s="13" t="s">
        <v>82</v>
      </c>
      <c r="H298" s="13"/>
      <c r="I298" s="13" t="s">
        <v>470</v>
      </c>
      <c r="J298" s="13" t="s">
        <v>471</v>
      </c>
      <c r="K298" s="13" t="s">
        <v>310</v>
      </c>
      <c r="L298" s="13"/>
      <c r="M298" s="72">
        <v>11330000000</v>
      </c>
      <c r="N298" s="13" t="s">
        <v>466</v>
      </c>
      <c r="O298" s="13">
        <v>2</v>
      </c>
      <c r="P298" s="13"/>
      <c r="Q298" s="73" t="s">
        <v>472</v>
      </c>
    </row>
    <row r="299" spans="1:17" x14ac:dyDescent="0.3">
      <c r="A299" s="13" t="s">
        <v>192</v>
      </c>
      <c r="B299" s="13" t="s">
        <v>429</v>
      </c>
      <c r="C299" s="13">
        <v>2020</v>
      </c>
      <c r="D299" s="13"/>
      <c r="E299" s="13" t="s">
        <v>479</v>
      </c>
      <c r="F299" s="72">
        <v>11566000000</v>
      </c>
      <c r="G299" s="13" t="s">
        <v>82</v>
      </c>
      <c r="H299" s="13"/>
      <c r="I299" s="13" t="s">
        <v>475</v>
      </c>
      <c r="J299" s="13" t="s">
        <v>476</v>
      </c>
      <c r="K299" s="13" t="s">
        <v>310</v>
      </c>
      <c r="L299" s="13"/>
      <c r="M299" s="72">
        <v>11566000000</v>
      </c>
      <c r="N299" s="13" t="s">
        <v>471</v>
      </c>
      <c r="O299" s="13">
        <v>2</v>
      </c>
      <c r="P299" s="13"/>
      <c r="Q299" s="73" t="s">
        <v>477</v>
      </c>
    </row>
    <row r="300" spans="1:17" x14ac:dyDescent="0.3">
      <c r="A300" s="13" t="s">
        <v>192</v>
      </c>
      <c r="B300" s="13" t="s">
        <v>429</v>
      </c>
      <c r="C300" s="13">
        <v>2021</v>
      </c>
      <c r="D300" s="13"/>
      <c r="E300" s="13" t="s">
        <v>484</v>
      </c>
      <c r="F300" s="72">
        <v>11294000000</v>
      </c>
      <c r="G300" s="13" t="s">
        <v>82</v>
      </c>
      <c r="H300" s="13"/>
      <c r="I300" s="13" t="s">
        <v>480</v>
      </c>
      <c r="J300" s="13" t="s">
        <v>481</v>
      </c>
      <c r="K300" s="13" t="s">
        <v>310</v>
      </c>
      <c r="L300" s="13"/>
      <c r="M300" s="72">
        <v>11294000000</v>
      </c>
      <c r="N300" s="13" t="s">
        <v>476</v>
      </c>
      <c r="O300" s="13">
        <v>2</v>
      </c>
      <c r="P300" s="13"/>
      <c r="Q300" s="73" t="s">
        <v>482</v>
      </c>
    </row>
    <row r="301" spans="1:17" x14ac:dyDescent="0.3">
      <c r="A301" s="13" t="s">
        <v>192</v>
      </c>
      <c r="B301" s="13" t="s">
        <v>429</v>
      </c>
      <c r="C301" s="13">
        <v>2022</v>
      </c>
      <c r="D301" s="13"/>
      <c r="E301" s="13" t="s">
        <v>489</v>
      </c>
      <c r="F301" s="72">
        <v>10139000000</v>
      </c>
      <c r="G301" s="13" t="s">
        <v>82</v>
      </c>
      <c r="H301" s="13"/>
      <c r="I301" s="13" t="s">
        <v>485</v>
      </c>
      <c r="J301" s="13" t="s">
        <v>486</v>
      </c>
      <c r="K301" s="13" t="s">
        <v>310</v>
      </c>
      <c r="L301" s="13"/>
      <c r="M301" s="72">
        <v>10139000000</v>
      </c>
      <c r="N301" s="13" t="s">
        <v>481</v>
      </c>
      <c r="O301" s="13">
        <v>2</v>
      </c>
      <c r="P301" s="13"/>
      <c r="Q301" s="73" t="s">
        <v>487</v>
      </c>
    </row>
    <row r="302" spans="1:17" x14ac:dyDescent="0.3">
      <c r="A302" s="13" t="s">
        <v>192</v>
      </c>
      <c r="B302" s="13" t="s">
        <v>429</v>
      </c>
      <c r="C302" s="13">
        <v>2023</v>
      </c>
      <c r="D302" s="13"/>
      <c r="E302" s="13" t="s">
        <v>494</v>
      </c>
      <c r="F302" s="72">
        <v>10162000000</v>
      </c>
      <c r="G302" s="13" t="s">
        <v>82</v>
      </c>
      <c r="H302" s="13"/>
      <c r="I302" s="13" t="s">
        <v>490</v>
      </c>
      <c r="J302" s="13" t="s">
        <v>491</v>
      </c>
      <c r="K302" s="13" t="s">
        <v>310</v>
      </c>
      <c r="L302" s="13"/>
      <c r="M302" s="72">
        <v>10162000000</v>
      </c>
      <c r="N302" s="13" t="s">
        <v>486</v>
      </c>
      <c r="O302" s="13">
        <v>2</v>
      </c>
      <c r="P302" s="13"/>
      <c r="Q302" s="73" t="s">
        <v>492</v>
      </c>
    </row>
    <row r="303" spans="1:17" x14ac:dyDescent="0.3">
      <c r="A303" s="13" t="s">
        <v>192</v>
      </c>
      <c r="B303" s="13" t="s">
        <v>429</v>
      </c>
      <c r="C303" s="13">
        <v>2024</v>
      </c>
      <c r="D303" s="13"/>
      <c r="E303" s="13" t="s">
        <v>497</v>
      </c>
      <c r="F303" s="72">
        <v>15805000000</v>
      </c>
      <c r="G303" s="13" t="s">
        <v>82</v>
      </c>
      <c r="H303" s="13"/>
      <c r="I303" s="13" t="s">
        <v>165</v>
      </c>
      <c r="J303" s="13" t="s">
        <v>166</v>
      </c>
      <c r="K303" s="13" t="s">
        <v>310</v>
      </c>
      <c r="L303" s="13"/>
      <c r="M303" s="72">
        <v>15805000000</v>
      </c>
      <c r="N303" s="13" t="s">
        <v>491</v>
      </c>
      <c r="O303" s="13">
        <v>2</v>
      </c>
      <c r="P303" s="13"/>
      <c r="Q303" s="73" t="s">
        <v>495</v>
      </c>
    </row>
    <row r="304" spans="1:17" x14ac:dyDescent="0.3">
      <c r="A304" s="13" t="s">
        <v>192</v>
      </c>
      <c r="B304" s="13" t="s">
        <v>429</v>
      </c>
      <c r="C304" s="13">
        <v>2025</v>
      </c>
      <c r="D304" s="13"/>
      <c r="E304" s="13" t="s">
        <v>499</v>
      </c>
      <c r="F304" s="72">
        <v>14509000000</v>
      </c>
      <c r="G304" s="13" t="s">
        <v>82</v>
      </c>
      <c r="H304" s="13"/>
      <c r="I304" s="13" t="s">
        <v>165</v>
      </c>
      <c r="J304" s="13" t="s">
        <v>166</v>
      </c>
      <c r="K304" s="13" t="s">
        <v>310</v>
      </c>
      <c r="L304" s="13"/>
      <c r="M304" s="72">
        <v>14509000000</v>
      </c>
      <c r="N304" s="13" t="s">
        <v>166</v>
      </c>
      <c r="O304" s="13">
        <v>1</v>
      </c>
      <c r="P304" s="13"/>
      <c r="Q304" s="73" t="s">
        <v>495</v>
      </c>
    </row>
    <row r="305" spans="1:17" x14ac:dyDescent="0.3">
      <c r="A305" s="13" t="s">
        <v>192</v>
      </c>
      <c r="B305" s="13" t="s">
        <v>63</v>
      </c>
      <c r="C305" s="13">
        <v>2015</v>
      </c>
      <c r="D305" s="13" t="s">
        <v>452</v>
      </c>
      <c r="E305" s="13" t="s">
        <v>453</v>
      </c>
      <c r="F305" s="72">
        <v>2039000000</v>
      </c>
      <c r="G305" s="13" t="s">
        <v>64</v>
      </c>
      <c r="H305" s="13"/>
      <c r="I305" s="13" t="s">
        <v>172</v>
      </c>
      <c r="J305" s="13" t="s">
        <v>173</v>
      </c>
      <c r="K305" s="13" t="s">
        <v>310</v>
      </c>
      <c r="L305" s="13"/>
      <c r="M305" s="72">
        <v>2039000000</v>
      </c>
      <c r="N305" s="13" t="s">
        <v>454</v>
      </c>
      <c r="O305" s="13">
        <v>4</v>
      </c>
      <c r="P305" s="13"/>
      <c r="Q305" s="73" t="s">
        <v>455</v>
      </c>
    </row>
    <row r="306" spans="1:17" x14ac:dyDescent="0.3">
      <c r="A306" s="13" t="s">
        <v>192</v>
      </c>
      <c r="B306" s="13" t="s">
        <v>63</v>
      </c>
      <c r="C306" s="13">
        <v>2016</v>
      </c>
      <c r="D306" s="13" t="s">
        <v>456</v>
      </c>
      <c r="E306" s="13" t="s">
        <v>457</v>
      </c>
      <c r="F306" s="72">
        <v>1975000000</v>
      </c>
      <c r="G306" s="13" t="s">
        <v>64</v>
      </c>
      <c r="H306" s="13"/>
      <c r="I306" s="13" t="s">
        <v>459</v>
      </c>
      <c r="J306" s="13" t="s">
        <v>460</v>
      </c>
      <c r="K306" s="13" t="s">
        <v>310</v>
      </c>
      <c r="L306" s="13"/>
      <c r="M306" s="72">
        <v>1975000000</v>
      </c>
      <c r="N306" s="13" t="s">
        <v>501</v>
      </c>
      <c r="O306" s="13">
        <v>4</v>
      </c>
      <c r="P306" s="13"/>
      <c r="Q306" s="73" t="s">
        <v>461</v>
      </c>
    </row>
    <row r="307" spans="1:17" x14ac:dyDescent="0.3">
      <c r="A307" s="13" t="s">
        <v>192</v>
      </c>
      <c r="B307" s="13" t="s">
        <v>63</v>
      </c>
      <c r="C307" s="13">
        <v>2017</v>
      </c>
      <c r="D307" s="13" t="s">
        <v>462</v>
      </c>
      <c r="E307" s="13" t="s">
        <v>463</v>
      </c>
      <c r="F307" s="72">
        <v>1907000000</v>
      </c>
      <c r="G307" s="13" t="s">
        <v>64</v>
      </c>
      <c r="H307" s="13"/>
      <c r="I307" s="13" t="s">
        <v>465</v>
      </c>
      <c r="J307" s="13" t="s">
        <v>466</v>
      </c>
      <c r="K307" s="13" t="s">
        <v>310</v>
      </c>
      <c r="L307" s="13"/>
      <c r="M307" s="72">
        <v>1907000000</v>
      </c>
      <c r="N307" s="13" t="s">
        <v>503</v>
      </c>
      <c r="O307" s="13">
        <v>4</v>
      </c>
      <c r="P307" s="13"/>
      <c r="Q307" s="73" t="s">
        <v>467</v>
      </c>
    </row>
    <row r="308" spans="1:17" x14ac:dyDescent="0.3">
      <c r="A308" s="13" t="s">
        <v>192</v>
      </c>
      <c r="B308" s="13" t="s">
        <v>63</v>
      </c>
      <c r="C308" s="13">
        <v>2018</v>
      </c>
      <c r="D308" s="13" t="s">
        <v>468</v>
      </c>
      <c r="E308" s="13" t="s">
        <v>469</v>
      </c>
      <c r="F308" s="72">
        <v>3110000000</v>
      </c>
      <c r="G308" s="13" t="s">
        <v>64</v>
      </c>
      <c r="H308" s="13"/>
      <c r="I308" s="13" t="s">
        <v>470</v>
      </c>
      <c r="J308" s="13" t="s">
        <v>471</v>
      </c>
      <c r="K308" s="13" t="s">
        <v>310</v>
      </c>
      <c r="L308" s="13"/>
      <c r="M308" s="72">
        <v>3110000000</v>
      </c>
      <c r="N308" s="13" t="s">
        <v>460</v>
      </c>
      <c r="O308" s="13">
        <v>3</v>
      </c>
      <c r="P308" s="13"/>
      <c r="Q308" s="73" t="s">
        <v>472</v>
      </c>
    </row>
    <row r="309" spans="1:17" x14ac:dyDescent="0.3">
      <c r="A309" s="13" t="s">
        <v>192</v>
      </c>
      <c r="B309" s="13" t="s">
        <v>63</v>
      </c>
      <c r="C309" s="13">
        <v>2019</v>
      </c>
      <c r="D309" s="13" t="s">
        <v>473</v>
      </c>
      <c r="E309" s="13" t="s">
        <v>474</v>
      </c>
      <c r="F309" s="72">
        <v>1659000000</v>
      </c>
      <c r="G309" s="13" t="s">
        <v>64</v>
      </c>
      <c r="H309" s="13"/>
      <c r="I309" s="13" t="s">
        <v>475</v>
      </c>
      <c r="J309" s="13" t="s">
        <v>476</v>
      </c>
      <c r="K309" s="13" t="s">
        <v>310</v>
      </c>
      <c r="L309" s="13"/>
      <c r="M309" s="72">
        <v>1659000000</v>
      </c>
      <c r="N309" s="13" t="s">
        <v>466</v>
      </c>
      <c r="O309" s="13">
        <v>3</v>
      </c>
      <c r="P309" s="13"/>
      <c r="Q309" s="73" t="s">
        <v>477</v>
      </c>
    </row>
    <row r="310" spans="1:17" x14ac:dyDescent="0.3">
      <c r="A310" s="13" t="s">
        <v>192</v>
      </c>
      <c r="B310" s="13" t="s">
        <v>63</v>
      </c>
      <c r="C310" s="13">
        <v>2020</v>
      </c>
      <c r="D310" s="13" t="s">
        <v>478</v>
      </c>
      <c r="E310" s="13" t="s">
        <v>479</v>
      </c>
      <c r="F310" s="72">
        <v>2585000000</v>
      </c>
      <c r="G310" s="13" t="s">
        <v>64</v>
      </c>
      <c r="H310" s="13"/>
      <c r="I310" s="13" t="s">
        <v>480</v>
      </c>
      <c r="J310" s="13" t="s">
        <v>481</v>
      </c>
      <c r="K310" s="13" t="s">
        <v>310</v>
      </c>
      <c r="L310" s="13"/>
      <c r="M310" s="72">
        <v>2585000000</v>
      </c>
      <c r="N310" s="13" t="s">
        <v>471</v>
      </c>
      <c r="O310" s="13">
        <v>3</v>
      </c>
      <c r="P310" s="13"/>
      <c r="Q310" s="73" t="s">
        <v>482</v>
      </c>
    </row>
    <row r="311" spans="1:17" x14ac:dyDescent="0.3">
      <c r="A311" s="13" t="s">
        <v>192</v>
      </c>
      <c r="B311" s="13" t="s">
        <v>63</v>
      </c>
      <c r="C311" s="13">
        <v>2021</v>
      </c>
      <c r="D311" s="13" t="s">
        <v>483</v>
      </c>
      <c r="E311" s="13" t="s">
        <v>484</v>
      </c>
      <c r="F311" s="72">
        <v>1655000000</v>
      </c>
      <c r="G311" s="13" t="s">
        <v>64</v>
      </c>
      <c r="H311" s="13"/>
      <c r="I311" s="13" t="s">
        <v>485</v>
      </c>
      <c r="J311" s="13" t="s">
        <v>486</v>
      </c>
      <c r="K311" s="13" t="s">
        <v>310</v>
      </c>
      <c r="L311" s="13"/>
      <c r="M311" s="72">
        <v>1655000000</v>
      </c>
      <c r="N311" s="13" t="s">
        <v>476</v>
      </c>
      <c r="O311" s="13">
        <v>3</v>
      </c>
      <c r="P311" s="13"/>
      <c r="Q311" s="73" t="s">
        <v>487</v>
      </c>
    </row>
    <row r="312" spans="1:17" x14ac:dyDescent="0.3">
      <c r="A312" s="13" t="s">
        <v>192</v>
      </c>
      <c r="B312" s="13" t="s">
        <v>63</v>
      </c>
      <c r="C312" s="13">
        <v>2022</v>
      </c>
      <c r="D312" s="13" t="s">
        <v>488</v>
      </c>
      <c r="E312" s="13" t="s">
        <v>489</v>
      </c>
      <c r="F312" s="72">
        <v>2244000000</v>
      </c>
      <c r="G312" s="13" t="s">
        <v>64</v>
      </c>
      <c r="H312" s="13"/>
      <c r="I312" s="13" t="s">
        <v>490</v>
      </c>
      <c r="J312" s="13" t="s">
        <v>491</v>
      </c>
      <c r="K312" s="13" t="s">
        <v>310</v>
      </c>
      <c r="L312" s="13"/>
      <c r="M312" s="72">
        <v>2244000000</v>
      </c>
      <c r="N312" s="13" t="s">
        <v>481</v>
      </c>
      <c r="O312" s="13">
        <v>3</v>
      </c>
      <c r="P312" s="13"/>
      <c r="Q312" s="73" t="s">
        <v>492</v>
      </c>
    </row>
    <row r="313" spans="1:17" x14ac:dyDescent="0.3">
      <c r="A313" s="13" t="s">
        <v>192</v>
      </c>
      <c r="B313" s="13" t="s">
        <v>63</v>
      </c>
      <c r="C313" s="13">
        <v>2023</v>
      </c>
      <c r="D313" s="13" t="s">
        <v>493</v>
      </c>
      <c r="E313" s="13" t="s">
        <v>494</v>
      </c>
      <c r="F313" s="72">
        <v>2164000000</v>
      </c>
      <c r="G313" s="13" t="s">
        <v>64</v>
      </c>
      <c r="H313" s="13"/>
      <c r="I313" s="13" t="s">
        <v>165</v>
      </c>
      <c r="J313" s="13" t="s">
        <v>166</v>
      </c>
      <c r="K313" s="13" t="s">
        <v>310</v>
      </c>
      <c r="L313" s="13"/>
      <c r="M313" s="72">
        <v>2164000000</v>
      </c>
      <c r="N313" s="13" t="s">
        <v>486</v>
      </c>
      <c r="O313" s="13">
        <v>3</v>
      </c>
      <c r="P313" s="13"/>
      <c r="Q313" s="73" t="s">
        <v>495</v>
      </c>
    </row>
    <row r="314" spans="1:17" x14ac:dyDescent="0.3">
      <c r="A314" s="13" t="s">
        <v>192</v>
      </c>
      <c r="B314" s="13" t="s">
        <v>63</v>
      </c>
      <c r="C314" s="13">
        <v>2024</v>
      </c>
      <c r="D314" s="13" t="s">
        <v>496</v>
      </c>
      <c r="E314" s="13" t="s">
        <v>497</v>
      </c>
      <c r="F314" s="72">
        <v>2665000000</v>
      </c>
      <c r="G314" s="13" t="s">
        <v>64</v>
      </c>
      <c r="H314" s="13"/>
      <c r="I314" s="13" t="s">
        <v>165</v>
      </c>
      <c r="J314" s="13" t="s">
        <v>166</v>
      </c>
      <c r="K314" s="13" t="s">
        <v>310</v>
      </c>
      <c r="L314" s="13"/>
      <c r="M314" s="72">
        <v>2665000000</v>
      </c>
      <c r="N314" s="13" t="s">
        <v>491</v>
      </c>
      <c r="O314" s="13">
        <v>2</v>
      </c>
      <c r="P314" s="13"/>
      <c r="Q314" s="73" t="s">
        <v>495</v>
      </c>
    </row>
    <row r="315" spans="1:17" x14ac:dyDescent="0.3">
      <c r="A315" s="13" t="s">
        <v>192</v>
      </c>
      <c r="B315" s="13" t="s">
        <v>63</v>
      </c>
      <c r="C315" s="13">
        <v>2025</v>
      </c>
      <c r="D315" s="13" t="s">
        <v>498</v>
      </c>
      <c r="E315" s="13" t="s">
        <v>499</v>
      </c>
      <c r="F315" s="72">
        <v>1016000000</v>
      </c>
      <c r="G315" s="13" t="s">
        <v>64</v>
      </c>
      <c r="H315" s="13"/>
      <c r="I315" s="13" t="s">
        <v>165</v>
      </c>
      <c r="J315" s="13" t="s">
        <v>166</v>
      </c>
      <c r="K315" s="13" t="s">
        <v>310</v>
      </c>
      <c r="L315" s="13"/>
      <c r="M315" s="72">
        <v>1016000000</v>
      </c>
      <c r="N315" s="13" t="s">
        <v>166</v>
      </c>
      <c r="O315" s="13">
        <v>1</v>
      </c>
      <c r="P315" s="13"/>
      <c r="Q315" s="73" t="s">
        <v>495</v>
      </c>
    </row>
    <row r="316" spans="1:17" x14ac:dyDescent="0.3">
      <c r="A316" s="13" t="s">
        <v>192</v>
      </c>
      <c r="B316" s="13" t="s">
        <v>442</v>
      </c>
      <c r="C316" s="13">
        <v>2015</v>
      </c>
      <c r="D316" s="13" t="s">
        <v>452</v>
      </c>
      <c r="E316" s="13" t="s">
        <v>453</v>
      </c>
      <c r="F316" s="72">
        <v>3576000000</v>
      </c>
      <c r="G316" s="13" t="s">
        <v>90</v>
      </c>
      <c r="H316" s="13"/>
      <c r="I316" s="13" t="s">
        <v>172</v>
      </c>
      <c r="J316" s="13" t="s">
        <v>173</v>
      </c>
      <c r="K316" s="13" t="s">
        <v>310</v>
      </c>
      <c r="L316" s="13"/>
      <c r="M316" s="72">
        <v>3576000000</v>
      </c>
      <c r="N316" s="13" t="s">
        <v>454</v>
      </c>
      <c r="O316" s="13">
        <v>4</v>
      </c>
      <c r="P316" s="13"/>
      <c r="Q316" s="73" t="s">
        <v>455</v>
      </c>
    </row>
    <row r="317" spans="1:17" x14ac:dyDescent="0.3">
      <c r="A317" s="13" t="s">
        <v>192</v>
      </c>
      <c r="B317" s="13" t="s">
        <v>442</v>
      </c>
      <c r="C317" s="13">
        <v>2016</v>
      </c>
      <c r="D317" s="13" t="s">
        <v>456</v>
      </c>
      <c r="E317" s="13" t="s">
        <v>457</v>
      </c>
      <c r="F317" s="72">
        <v>3452000000</v>
      </c>
      <c r="G317" s="13" t="s">
        <v>90</v>
      </c>
      <c r="H317" s="13"/>
      <c r="I317" s="13" t="s">
        <v>459</v>
      </c>
      <c r="J317" s="13" t="s">
        <v>460</v>
      </c>
      <c r="K317" s="13" t="s">
        <v>310</v>
      </c>
      <c r="L317" s="13" t="s">
        <v>408</v>
      </c>
      <c r="M317" s="72">
        <v>3436000000</v>
      </c>
      <c r="N317" s="13" t="s">
        <v>501</v>
      </c>
      <c r="O317" s="13">
        <v>4</v>
      </c>
      <c r="P317" s="13"/>
      <c r="Q317" s="73" t="s">
        <v>461</v>
      </c>
    </row>
    <row r="318" spans="1:17" x14ac:dyDescent="0.3">
      <c r="A318" s="13" t="s">
        <v>192</v>
      </c>
      <c r="B318" s="13" t="s">
        <v>442</v>
      </c>
      <c r="C318" s="13">
        <v>2017</v>
      </c>
      <c r="D318" s="13" t="s">
        <v>462</v>
      </c>
      <c r="E318" s="13" t="s">
        <v>463</v>
      </c>
      <c r="F318" s="72">
        <v>2612000000</v>
      </c>
      <c r="G318" s="13" t="s">
        <v>90</v>
      </c>
      <c r="H318" s="13"/>
      <c r="I318" s="13" t="s">
        <v>465</v>
      </c>
      <c r="J318" s="13" t="s">
        <v>466</v>
      </c>
      <c r="K318" s="13" t="s">
        <v>310</v>
      </c>
      <c r="L318" s="13" t="s">
        <v>408</v>
      </c>
      <c r="M318" s="72">
        <v>2085000000</v>
      </c>
      <c r="N318" s="13" t="s">
        <v>503</v>
      </c>
      <c r="O318" s="13">
        <v>4</v>
      </c>
      <c r="P318" s="13"/>
      <c r="Q318" s="73" t="s">
        <v>467</v>
      </c>
    </row>
    <row r="319" spans="1:17" x14ac:dyDescent="0.3">
      <c r="A319" s="13" t="s">
        <v>192</v>
      </c>
      <c r="B319" s="13" t="s">
        <v>442</v>
      </c>
      <c r="C319" s="13">
        <v>2018</v>
      </c>
      <c r="D319" s="13" t="s">
        <v>468</v>
      </c>
      <c r="E319" s="13" t="s">
        <v>469</v>
      </c>
      <c r="F319" s="72">
        <v>2614000000</v>
      </c>
      <c r="G319" s="13" t="s">
        <v>90</v>
      </c>
      <c r="H319" s="13"/>
      <c r="I319" s="13" t="s">
        <v>470</v>
      </c>
      <c r="J319" s="13" t="s">
        <v>471</v>
      </c>
      <c r="K319" s="13" t="s">
        <v>310</v>
      </c>
      <c r="L319" s="13"/>
      <c r="M319" s="72">
        <v>2614000000</v>
      </c>
      <c r="N319" s="13" t="s">
        <v>460</v>
      </c>
      <c r="O319" s="13">
        <v>3</v>
      </c>
      <c r="P319" s="13"/>
      <c r="Q319" s="73" t="s">
        <v>472</v>
      </c>
    </row>
    <row r="320" spans="1:17" x14ac:dyDescent="0.3">
      <c r="A320" s="13" t="s">
        <v>192</v>
      </c>
      <c r="B320" s="13" t="s">
        <v>442</v>
      </c>
      <c r="C320" s="13">
        <v>2019</v>
      </c>
      <c r="D320" s="13" t="s">
        <v>473</v>
      </c>
      <c r="E320" s="13" t="s">
        <v>474</v>
      </c>
      <c r="F320" s="72">
        <v>2251000000</v>
      </c>
      <c r="G320" s="13" t="s">
        <v>90</v>
      </c>
      <c r="H320" s="13"/>
      <c r="I320" s="13" t="s">
        <v>475</v>
      </c>
      <c r="J320" s="13" t="s">
        <v>476</v>
      </c>
      <c r="K320" s="13" t="s">
        <v>310</v>
      </c>
      <c r="L320" s="13"/>
      <c r="M320" s="72">
        <v>2251000000</v>
      </c>
      <c r="N320" s="13" t="s">
        <v>466</v>
      </c>
      <c r="O320" s="13">
        <v>3</v>
      </c>
      <c r="P320" s="13"/>
      <c r="Q320" s="73" t="s">
        <v>477</v>
      </c>
    </row>
    <row r="321" spans="1:17" x14ac:dyDescent="0.3">
      <c r="A321" s="13" t="s">
        <v>192</v>
      </c>
      <c r="B321" s="13" t="s">
        <v>442</v>
      </c>
      <c r="C321" s="13">
        <v>2020</v>
      </c>
      <c r="D321" s="13" t="s">
        <v>478</v>
      </c>
      <c r="E321" s="13" t="s">
        <v>479</v>
      </c>
      <c r="F321" s="72">
        <v>2780000000</v>
      </c>
      <c r="G321" s="13" t="s">
        <v>90</v>
      </c>
      <c r="H321" s="13"/>
      <c r="I321" s="13" t="s">
        <v>480</v>
      </c>
      <c r="J321" s="13" t="s">
        <v>481</v>
      </c>
      <c r="K321" s="13" t="s">
        <v>310</v>
      </c>
      <c r="L321" s="13"/>
      <c r="M321" s="72">
        <v>2780000000</v>
      </c>
      <c r="N321" s="13" t="s">
        <v>471</v>
      </c>
      <c r="O321" s="13">
        <v>3</v>
      </c>
      <c r="P321" s="13"/>
      <c r="Q321" s="73" t="s">
        <v>482</v>
      </c>
    </row>
    <row r="322" spans="1:17" x14ac:dyDescent="0.3">
      <c r="A322" s="13" t="s">
        <v>192</v>
      </c>
      <c r="B322" s="13" t="s">
        <v>442</v>
      </c>
      <c r="C322" s="13">
        <v>2021</v>
      </c>
      <c r="D322" s="13" t="s">
        <v>483</v>
      </c>
      <c r="E322" s="13" t="s">
        <v>484</v>
      </c>
      <c r="F322" s="72">
        <v>3477000000</v>
      </c>
      <c r="G322" s="13" t="s">
        <v>90</v>
      </c>
      <c r="H322" s="13"/>
      <c r="I322" s="13" t="s">
        <v>485</v>
      </c>
      <c r="J322" s="13" t="s">
        <v>486</v>
      </c>
      <c r="K322" s="13" t="s">
        <v>310</v>
      </c>
      <c r="L322" s="13"/>
      <c r="M322" s="72">
        <v>3477000000</v>
      </c>
      <c r="N322" s="13" t="s">
        <v>476</v>
      </c>
      <c r="O322" s="13">
        <v>3</v>
      </c>
      <c r="P322" s="13"/>
      <c r="Q322" s="73" t="s">
        <v>487</v>
      </c>
    </row>
    <row r="323" spans="1:17" x14ac:dyDescent="0.3">
      <c r="A323" s="13" t="s">
        <v>192</v>
      </c>
      <c r="B323" s="13" t="s">
        <v>442</v>
      </c>
      <c r="C323" s="13">
        <v>2022</v>
      </c>
      <c r="D323" s="13" t="s">
        <v>488</v>
      </c>
      <c r="E323" s="13" t="s">
        <v>489</v>
      </c>
      <c r="F323" s="72">
        <v>4126000000</v>
      </c>
      <c r="G323" s="13" t="s">
        <v>90</v>
      </c>
      <c r="H323" s="13"/>
      <c r="I323" s="13" t="s">
        <v>490</v>
      </c>
      <c r="J323" s="13" t="s">
        <v>491</v>
      </c>
      <c r="K323" s="13" t="s">
        <v>310</v>
      </c>
      <c r="L323" s="13"/>
      <c r="M323" s="72">
        <v>4126000000</v>
      </c>
      <c r="N323" s="13" t="s">
        <v>481</v>
      </c>
      <c r="O323" s="13">
        <v>3</v>
      </c>
      <c r="P323" s="13"/>
      <c r="Q323" s="73" t="s">
        <v>492</v>
      </c>
    </row>
    <row r="324" spans="1:17" x14ac:dyDescent="0.3">
      <c r="A324" s="13" t="s">
        <v>192</v>
      </c>
      <c r="B324" s="13" t="s">
        <v>442</v>
      </c>
      <c r="C324" s="13">
        <v>2023</v>
      </c>
      <c r="D324" s="13" t="s">
        <v>493</v>
      </c>
      <c r="E324" s="13" t="s">
        <v>494</v>
      </c>
      <c r="F324" s="72">
        <v>3096000000</v>
      </c>
      <c r="G324" s="13" t="s">
        <v>90</v>
      </c>
      <c r="H324" s="13"/>
      <c r="I324" s="13" t="s">
        <v>165</v>
      </c>
      <c r="J324" s="13" t="s">
        <v>166</v>
      </c>
      <c r="K324" s="13" t="s">
        <v>310</v>
      </c>
      <c r="L324" s="13"/>
      <c r="M324" s="72">
        <v>3096000000</v>
      </c>
      <c r="N324" s="13" t="s">
        <v>486</v>
      </c>
      <c r="O324" s="13">
        <v>3</v>
      </c>
      <c r="P324" s="13"/>
      <c r="Q324" s="73" t="s">
        <v>495</v>
      </c>
    </row>
    <row r="325" spans="1:17" x14ac:dyDescent="0.3">
      <c r="A325" s="13" t="s">
        <v>192</v>
      </c>
      <c r="B325" s="13" t="s">
        <v>442</v>
      </c>
      <c r="C325" s="13">
        <v>2024</v>
      </c>
      <c r="D325" s="13" t="s">
        <v>496</v>
      </c>
      <c r="E325" s="13" t="s">
        <v>497</v>
      </c>
      <c r="F325" s="72">
        <v>3849000000</v>
      </c>
      <c r="G325" s="13" t="s">
        <v>90</v>
      </c>
      <c r="H325" s="13"/>
      <c r="I325" s="13" t="s">
        <v>165</v>
      </c>
      <c r="J325" s="13" t="s">
        <v>166</v>
      </c>
      <c r="K325" s="13" t="s">
        <v>310</v>
      </c>
      <c r="L325" s="13"/>
      <c r="M325" s="72">
        <v>3849000000</v>
      </c>
      <c r="N325" s="13" t="s">
        <v>491</v>
      </c>
      <c r="O325" s="13">
        <v>2</v>
      </c>
      <c r="P325" s="13"/>
      <c r="Q325" s="73" t="s">
        <v>495</v>
      </c>
    </row>
    <row r="326" spans="1:17" x14ac:dyDescent="0.3">
      <c r="A326" s="13" t="s">
        <v>192</v>
      </c>
      <c r="B326" s="13" t="s">
        <v>442</v>
      </c>
      <c r="C326" s="13">
        <v>2025</v>
      </c>
      <c r="D326" s="13" t="s">
        <v>498</v>
      </c>
      <c r="E326" s="13" t="s">
        <v>499</v>
      </c>
      <c r="F326" s="72">
        <v>1890000000</v>
      </c>
      <c r="G326" s="13" t="s">
        <v>90</v>
      </c>
      <c r="H326" s="13"/>
      <c r="I326" s="13" t="s">
        <v>165</v>
      </c>
      <c r="J326" s="13" t="s">
        <v>166</v>
      </c>
      <c r="K326" s="13" t="s">
        <v>310</v>
      </c>
      <c r="L326" s="13"/>
      <c r="M326" s="72">
        <v>1890000000</v>
      </c>
      <c r="N326" s="13" t="s">
        <v>166</v>
      </c>
      <c r="O326" s="13">
        <v>1</v>
      </c>
      <c r="P326" s="13"/>
      <c r="Q326" s="73" t="s">
        <v>495</v>
      </c>
    </row>
    <row r="327" spans="1:17" x14ac:dyDescent="0.3">
      <c r="A327" s="13" t="s">
        <v>192</v>
      </c>
      <c r="B327" s="13" t="s">
        <v>443</v>
      </c>
      <c r="C327" s="13">
        <v>2019</v>
      </c>
      <c r="D327" s="13"/>
      <c r="E327" s="13" t="s">
        <v>474</v>
      </c>
      <c r="F327" s="72">
        <v>597000000</v>
      </c>
      <c r="G327" s="13" t="s">
        <v>444</v>
      </c>
      <c r="H327" s="13"/>
      <c r="I327" s="13" t="s">
        <v>470</v>
      </c>
      <c r="J327" s="13" t="s">
        <v>471</v>
      </c>
      <c r="K327" s="13" t="s">
        <v>310</v>
      </c>
      <c r="L327" s="13"/>
      <c r="M327" s="72">
        <v>597000000</v>
      </c>
      <c r="N327" s="13" t="s">
        <v>466</v>
      </c>
      <c r="O327" s="13">
        <v>2</v>
      </c>
      <c r="P327" s="13"/>
      <c r="Q327" s="73" t="s">
        <v>472</v>
      </c>
    </row>
    <row r="328" spans="1:17" x14ac:dyDescent="0.3">
      <c r="A328" s="13" t="s">
        <v>192</v>
      </c>
      <c r="B328" s="13" t="s">
        <v>443</v>
      </c>
      <c r="C328" s="13">
        <v>2020</v>
      </c>
      <c r="D328" s="13"/>
      <c r="E328" s="13" t="s">
        <v>479</v>
      </c>
      <c r="F328" s="72">
        <v>667000000</v>
      </c>
      <c r="G328" s="13" t="s">
        <v>444</v>
      </c>
      <c r="H328" s="13"/>
      <c r="I328" s="13" t="s">
        <v>475</v>
      </c>
      <c r="J328" s="13" t="s">
        <v>476</v>
      </c>
      <c r="K328" s="13" t="s">
        <v>310</v>
      </c>
      <c r="L328" s="13"/>
      <c r="M328" s="72">
        <v>667000000</v>
      </c>
      <c r="N328" s="13" t="s">
        <v>471</v>
      </c>
      <c r="O328" s="13">
        <v>2</v>
      </c>
      <c r="P328" s="13"/>
      <c r="Q328" s="73" t="s">
        <v>477</v>
      </c>
    </row>
    <row r="329" spans="1:17" x14ac:dyDescent="0.3">
      <c r="A329" s="13" t="s">
        <v>192</v>
      </c>
      <c r="B329" s="13" t="s">
        <v>443</v>
      </c>
      <c r="C329" s="13">
        <v>2021</v>
      </c>
      <c r="D329" s="13"/>
      <c r="E329" s="13" t="s">
        <v>484</v>
      </c>
      <c r="F329" s="72">
        <v>650000000</v>
      </c>
      <c r="G329" s="13" t="s">
        <v>444</v>
      </c>
      <c r="H329" s="13"/>
      <c r="I329" s="13" t="s">
        <v>480</v>
      </c>
      <c r="J329" s="13" t="s">
        <v>481</v>
      </c>
      <c r="K329" s="13" t="s">
        <v>310</v>
      </c>
      <c r="L329" s="13"/>
      <c r="M329" s="72">
        <v>650000000</v>
      </c>
      <c r="N329" s="13" t="s">
        <v>476</v>
      </c>
      <c r="O329" s="13">
        <v>2</v>
      </c>
      <c r="P329" s="13"/>
      <c r="Q329" s="73" t="s">
        <v>482</v>
      </c>
    </row>
    <row r="330" spans="1:17" x14ac:dyDescent="0.3">
      <c r="A330" s="13" t="s">
        <v>192</v>
      </c>
      <c r="B330" s="13" t="s">
        <v>443</v>
      </c>
      <c r="C330" s="13">
        <v>2022</v>
      </c>
      <c r="D330" s="13"/>
      <c r="E330" s="13" t="s">
        <v>489</v>
      </c>
      <c r="F330" s="72">
        <v>662000000</v>
      </c>
      <c r="G330" s="13" t="s">
        <v>444</v>
      </c>
      <c r="H330" s="13"/>
      <c r="I330" s="13" t="s">
        <v>485</v>
      </c>
      <c r="J330" s="13" t="s">
        <v>486</v>
      </c>
      <c r="K330" s="13" t="s">
        <v>310</v>
      </c>
      <c r="L330" s="13"/>
      <c r="M330" s="72">
        <v>662000000</v>
      </c>
      <c r="N330" s="13" t="s">
        <v>481</v>
      </c>
      <c r="O330" s="13">
        <v>2</v>
      </c>
      <c r="P330" s="13"/>
      <c r="Q330" s="73" t="s">
        <v>487</v>
      </c>
    </row>
    <row r="331" spans="1:17" x14ac:dyDescent="0.3">
      <c r="A331" s="13" t="s">
        <v>192</v>
      </c>
      <c r="B331" s="13" t="s">
        <v>443</v>
      </c>
      <c r="C331" s="13">
        <v>2023</v>
      </c>
      <c r="D331" s="13"/>
      <c r="E331" s="13" t="s">
        <v>494</v>
      </c>
      <c r="F331" s="72">
        <v>670000000</v>
      </c>
      <c r="G331" s="13" t="s">
        <v>444</v>
      </c>
      <c r="H331" s="13"/>
      <c r="I331" s="13" t="s">
        <v>490</v>
      </c>
      <c r="J331" s="13" t="s">
        <v>491</v>
      </c>
      <c r="K331" s="13" t="s">
        <v>310</v>
      </c>
      <c r="L331" s="13"/>
      <c r="M331" s="72">
        <v>670000000</v>
      </c>
      <c r="N331" s="13" t="s">
        <v>486</v>
      </c>
      <c r="O331" s="13">
        <v>2</v>
      </c>
      <c r="P331" s="13"/>
      <c r="Q331" s="73" t="s">
        <v>492</v>
      </c>
    </row>
    <row r="332" spans="1:17" x14ac:dyDescent="0.3">
      <c r="A332" s="13" t="s">
        <v>192</v>
      </c>
      <c r="B332" s="13" t="s">
        <v>443</v>
      </c>
      <c r="C332" s="13">
        <v>2024</v>
      </c>
      <c r="D332" s="13"/>
      <c r="E332" s="13" t="s">
        <v>497</v>
      </c>
      <c r="F332" s="72">
        <v>599000000</v>
      </c>
      <c r="G332" s="13" t="s">
        <v>444</v>
      </c>
      <c r="H332" s="13"/>
      <c r="I332" s="13" t="s">
        <v>165</v>
      </c>
      <c r="J332" s="13" t="s">
        <v>166</v>
      </c>
      <c r="K332" s="13" t="s">
        <v>310</v>
      </c>
      <c r="L332" s="13"/>
      <c r="M332" s="72">
        <v>599000000</v>
      </c>
      <c r="N332" s="13" t="s">
        <v>491</v>
      </c>
      <c r="O332" s="13">
        <v>2</v>
      </c>
      <c r="P332" s="13"/>
      <c r="Q332" s="73" t="s">
        <v>495</v>
      </c>
    </row>
    <row r="333" spans="1:17" x14ac:dyDescent="0.3">
      <c r="A333" s="13" t="s">
        <v>192</v>
      </c>
      <c r="B333" s="13" t="s">
        <v>443</v>
      </c>
      <c r="C333" s="13">
        <v>2025</v>
      </c>
      <c r="D333" s="13"/>
      <c r="E333" s="13" t="s">
        <v>499</v>
      </c>
      <c r="F333" s="72">
        <v>665000000</v>
      </c>
      <c r="G333" s="13" t="s">
        <v>444</v>
      </c>
      <c r="H333" s="13"/>
      <c r="I333" s="13" t="s">
        <v>165</v>
      </c>
      <c r="J333" s="13" t="s">
        <v>166</v>
      </c>
      <c r="K333" s="13" t="s">
        <v>310</v>
      </c>
      <c r="L333" s="13"/>
      <c r="M333" s="72">
        <v>665000000</v>
      </c>
      <c r="N333" s="13" t="s">
        <v>166</v>
      </c>
      <c r="O333" s="13">
        <v>1</v>
      </c>
      <c r="P333" s="13"/>
      <c r="Q333" s="73" t="s">
        <v>495</v>
      </c>
    </row>
    <row r="334" spans="1:17" x14ac:dyDescent="0.3">
      <c r="A334" s="13" t="s">
        <v>192</v>
      </c>
      <c r="B334" s="13" t="s">
        <v>445</v>
      </c>
      <c r="C334" s="13">
        <v>2019</v>
      </c>
      <c r="D334" s="13"/>
      <c r="E334" s="13" t="s">
        <v>474</v>
      </c>
      <c r="F334" s="72">
        <v>6505000000</v>
      </c>
      <c r="G334" s="13" t="s">
        <v>446</v>
      </c>
      <c r="H334" s="13"/>
      <c r="I334" s="13" t="s">
        <v>470</v>
      </c>
      <c r="J334" s="13" t="s">
        <v>471</v>
      </c>
      <c r="K334" s="13" t="s">
        <v>310</v>
      </c>
      <c r="L334" s="13"/>
      <c r="M334" s="72">
        <v>6505000000</v>
      </c>
      <c r="N334" s="13" t="s">
        <v>466</v>
      </c>
      <c r="O334" s="13">
        <v>2</v>
      </c>
      <c r="P334" s="13"/>
      <c r="Q334" s="73" t="s">
        <v>472</v>
      </c>
    </row>
    <row r="335" spans="1:17" x14ac:dyDescent="0.3">
      <c r="A335" s="13" t="s">
        <v>192</v>
      </c>
      <c r="B335" s="13" t="s">
        <v>445</v>
      </c>
      <c r="C335" s="13">
        <v>2020</v>
      </c>
      <c r="D335" s="13"/>
      <c r="E335" s="13" t="s">
        <v>479</v>
      </c>
      <c r="F335" s="72">
        <v>6507000000</v>
      </c>
      <c r="G335" s="13" t="s">
        <v>446</v>
      </c>
      <c r="H335" s="13"/>
      <c r="I335" s="13" t="s">
        <v>475</v>
      </c>
      <c r="J335" s="13" t="s">
        <v>476</v>
      </c>
      <c r="K335" s="13" t="s">
        <v>310</v>
      </c>
      <c r="L335" s="13"/>
      <c r="M335" s="72">
        <v>6507000000</v>
      </c>
      <c r="N335" s="13" t="s">
        <v>471</v>
      </c>
      <c r="O335" s="13">
        <v>2</v>
      </c>
      <c r="P335" s="13"/>
      <c r="Q335" s="73" t="s">
        <v>477</v>
      </c>
    </row>
    <row r="336" spans="1:17" x14ac:dyDescent="0.3">
      <c r="A336" s="13" t="s">
        <v>192</v>
      </c>
      <c r="B336" s="13" t="s">
        <v>445</v>
      </c>
      <c r="C336" s="13">
        <v>2021</v>
      </c>
      <c r="D336" s="13"/>
      <c r="E336" s="13" t="s">
        <v>484</v>
      </c>
      <c r="F336" s="72">
        <v>6426000000</v>
      </c>
      <c r="G336" s="13" t="s">
        <v>446</v>
      </c>
      <c r="H336" s="13"/>
      <c r="I336" s="13" t="s">
        <v>480</v>
      </c>
      <c r="J336" s="13" t="s">
        <v>481</v>
      </c>
      <c r="K336" s="13" t="s">
        <v>310</v>
      </c>
      <c r="L336" s="13"/>
      <c r="M336" s="72">
        <v>6426000000</v>
      </c>
      <c r="N336" s="13" t="s">
        <v>476</v>
      </c>
      <c r="O336" s="13">
        <v>2</v>
      </c>
      <c r="P336" s="13"/>
      <c r="Q336" s="73" t="s">
        <v>482</v>
      </c>
    </row>
    <row r="337" spans="1:17" x14ac:dyDescent="0.3">
      <c r="A337" s="13" t="s">
        <v>192</v>
      </c>
      <c r="B337" s="13" t="s">
        <v>445</v>
      </c>
      <c r="C337" s="13">
        <v>2022</v>
      </c>
      <c r="D337" s="13"/>
      <c r="E337" s="13" t="s">
        <v>489</v>
      </c>
      <c r="F337" s="72">
        <v>6372000000</v>
      </c>
      <c r="G337" s="13" t="s">
        <v>446</v>
      </c>
      <c r="H337" s="13"/>
      <c r="I337" s="13" t="s">
        <v>485</v>
      </c>
      <c r="J337" s="13" t="s">
        <v>486</v>
      </c>
      <c r="K337" s="13" t="s">
        <v>310</v>
      </c>
      <c r="L337" s="13"/>
      <c r="M337" s="72">
        <v>6372000000</v>
      </c>
      <c r="N337" s="13" t="s">
        <v>481</v>
      </c>
      <c r="O337" s="13">
        <v>2</v>
      </c>
      <c r="P337" s="13"/>
      <c r="Q337" s="73" t="s">
        <v>487</v>
      </c>
    </row>
    <row r="338" spans="1:17" x14ac:dyDescent="0.3">
      <c r="A338" s="13" t="s">
        <v>192</v>
      </c>
      <c r="B338" s="13" t="s">
        <v>445</v>
      </c>
      <c r="C338" s="13">
        <v>2023</v>
      </c>
      <c r="D338" s="13"/>
      <c r="E338" s="13" t="s">
        <v>494</v>
      </c>
      <c r="F338" s="72">
        <v>6351000000</v>
      </c>
      <c r="G338" s="13" t="s">
        <v>446</v>
      </c>
      <c r="H338" s="13"/>
      <c r="I338" s="13" t="s">
        <v>490</v>
      </c>
      <c r="J338" s="13" t="s">
        <v>491</v>
      </c>
      <c r="K338" s="13" t="s">
        <v>310</v>
      </c>
      <c r="L338" s="13"/>
      <c r="M338" s="72">
        <v>6351000000</v>
      </c>
      <c r="N338" s="13" t="s">
        <v>486</v>
      </c>
      <c r="O338" s="13">
        <v>2</v>
      </c>
      <c r="P338" s="13"/>
      <c r="Q338" s="73" t="s">
        <v>492</v>
      </c>
    </row>
    <row r="339" spans="1:17" x14ac:dyDescent="0.3">
      <c r="A339" s="13" t="s">
        <v>192</v>
      </c>
      <c r="B339" s="13" t="s">
        <v>445</v>
      </c>
      <c r="C339" s="13">
        <v>2024</v>
      </c>
      <c r="D339" s="13"/>
      <c r="E339" s="13" t="s">
        <v>497</v>
      </c>
      <c r="F339" s="72">
        <v>6578000000</v>
      </c>
      <c r="G339" s="13" t="s">
        <v>446</v>
      </c>
      <c r="H339" s="13"/>
      <c r="I339" s="13" t="s">
        <v>165</v>
      </c>
      <c r="J339" s="13" t="s">
        <v>166</v>
      </c>
      <c r="K339" s="13" t="s">
        <v>310</v>
      </c>
      <c r="L339" s="13"/>
      <c r="M339" s="72">
        <v>6578000000</v>
      </c>
      <c r="N339" s="13" t="s">
        <v>491</v>
      </c>
      <c r="O339" s="13">
        <v>2</v>
      </c>
      <c r="P339" s="13"/>
      <c r="Q339" s="73" t="s">
        <v>495</v>
      </c>
    </row>
    <row r="340" spans="1:17" x14ac:dyDescent="0.3">
      <c r="A340" s="13" t="s">
        <v>192</v>
      </c>
      <c r="B340" s="13" t="s">
        <v>445</v>
      </c>
      <c r="C340" s="13">
        <v>2025</v>
      </c>
      <c r="D340" s="13"/>
      <c r="E340" s="13" t="s">
        <v>499</v>
      </c>
      <c r="F340" s="72">
        <v>6461000000</v>
      </c>
      <c r="G340" s="13" t="s">
        <v>446</v>
      </c>
      <c r="H340" s="13"/>
      <c r="I340" s="13" t="s">
        <v>165</v>
      </c>
      <c r="J340" s="13" t="s">
        <v>166</v>
      </c>
      <c r="K340" s="13" t="s">
        <v>310</v>
      </c>
      <c r="L340" s="13"/>
      <c r="M340" s="72">
        <v>6461000000</v>
      </c>
      <c r="N340" s="13" t="s">
        <v>166</v>
      </c>
      <c r="O340" s="13">
        <v>1</v>
      </c>
      <c r="P340" s="13"/>
      <c r="Q340" s="73" t="s">
        <v>495</v>
      </c>
    </row>
    <row r="341" spans="1:17" x14ac:dyDescent="0.3">
      <c r="A341" s="13" t="s">
        <v>192</v>
      </c>
      <c r="B341" s="13" t="s">
        <v>447</v>
      </c>
      <c r="C341" s="13">
        <v>2019</v>
      </c>
      <c r="D341" s="13"/>
      <c r="E341" s="13" t="s">
        <v>474</v>
      </c>
      <c r="F341" s="72">
        <v>7102000000</v>
      </c>
      <c r="G341" s="13" t="s">
        <v>129</v>
      </c>
      <c r="H341" s="13"/>
      <c r="I341" s="13" t="s">
        <v>465</v>
      </c>
      <c r="J341" s="13" t="s">
        <v>466</v>
      </c>
      <c r="K341" s="13" t="s">
        <v>310</v>
      </c>
      <c r="L341" s="13"/>
      <c r="M341" s="72">
        <v>7102000000</v>
      </c>
      <c r="N341" s="13" t="s">
        <v>466</v>
      </c>
      <c r="O341" s="13">
        <v>1</v>
      </c>
      <c r="P341" s="13"/>
      <c r="Q341" s="73" t="s">
        <v>467</v>
      </c>
    </row>
    <row r="342" spans="1:17" x14ac:dyDescent="0.3">
      <c r="A342" s="13" t="s">
        <v>192</v>
      </c>
      <c r="B342" s="13" t="s">
        <v>447</v>
      </c>
      <c r="C342" s="13">
        <v>2020</v>
      </c>
      <c r="D342" s="13"/>
      <c r="E342" s="13" t="s">
        <v>479</v>
      </c>
      <c r="F342" s="72">
        <v>7174000000</v>
      </c>
      <c r="G342" s="13" t="s">
        <v>129</v>
      </c>
      <c r="H342" s="13"/>
      <c r="I342" s="13" t="s">
        <v>470</v>
      </c>
      <c r="J342" s="13" t="s">
        <v>471</v>
      </c>
      <c r="K342" s="13" t="s">
        <v>310</v>
      </c>
      <c r="L342" s="13"/>
      <c r="M342" s="72">
        <v>7174000000</v>
      </c>
      <c r="N342" s="13" t="s">
        <v>471</v>
      </c>
      <c r="O342" s="13">
        <v>1</v>
      </c>
      <c r="P342" s="13"/>
      <c r="Q342" s="73" t="s">
        <v>472</v>
      </c>
    </row>
    <row r="343" spans="1:17" x14ac:dyDescent="0.3">
      <c r="A343" s="13" t="s">
        <v>192</v>
      </c>
      <c r="B343" s="13" t="s">
        <v>447</v>
      </c>
      <c r="C343" s="13">
        <v>2021</v>
      </c>
      <c r="D343" s="13"/>
      <c r="E343" s="13" t="s">
        <v>484</v>
      </c>
      <c r="F343" s="72">
        <v>7076000000</v>
      </c>
      <c r="G343" s="13" t="s">
        <v>129</v>
      </c>
      <c r="H343" s="13"/>
      <c r="I343" s="13" t="s">
        <v>475</v>
      </c>
      <c r="J343" s="13" t="s">
        <v>476</v>
      </c>
      <c r="K343" s="13" t="s">
        <v>310</v>
      </c>
      <c r="L343" s="13"/>
      <c r="M343" s="72">
        <v>7076000000</v>
      </c>
      <c r="N343" s="13" t="s">
        <v>476</v>
      </c>
      <c r="O343" s="13">
        <v>1</v>
      </c>
      <c r="P343" s="13"/>
      <c r="Q343" s="73" t="s">
        <v>477</v>
      </c>
    </row>
    <row r="344" spans="1:17" x14ac:dyDescent="0.3">
      <c r="A344" s="13" t="s">
        <v>192</v>
      </c>
      <c r="B344" s="13" t="s">
        <v>447</v>
      </c>
      <c r="C344" s="13">
        <v>2022</v>
      </c>
      <c r="D344" s="13"/>
      <c r="E344" s="13" t="s">
        <v>489</v>
      </c>
      <c r="F344" s="72">
        <v>7034000000</v>
      </c>
      <c r="G344" s="13" t="s">
        <v>129</v>
      </c>
      <c r="H344" s="13"/>
      <c r="I344" s="13" t="s">
        <v>480</v>
      </c>
      <c r="J344" s="13" t="s">
        <v>481</v>
      </c>
      <c r="K344" s="13" t="s">
        <v>310</v>
      </c>
      <c r="L344" s="13"/>
      <c r="M344" s="72">
        <v>7034000000</v>
      </c>
      <c r="N344" s="13" t="s">
        <v>481</v>
      </c>
      <c r="O344" s="13">
        <v>1</v>
      </c>
      <c r="P344" s="13"/>
      <c r="Q344" s="73" t="s">
        <v>482</v>
      </c>
    </row>
    <row r="345" spans="1:17" x14ac:dyDescent="0.3">
      <c r="A345" s="13" t="s">
        <v>192</v>
      </c>
      <c r="B345" s="13" t="s">
        <v>447</v>
      </c>
      <c r="C345" s="13">
        <v>2023</v>
      </c>
      <c r="D345" s="13"/>
      <c r="E345" s="13" t="s">
        <v>494</v>
      </c>
      <c r="F345" s="72">
        <v>7021000000</v>
      </c>
      <c r="G345" s="13" t="s">
        <v>129</v>
      </c>
      <c r="H345" s="13"/>
      <c r="I345" s="13" t="s">
        <v>485</v>
      </c>
      <c r="J345" s="13" t="s">
        <v>486</v>
      </c>
      <c r="K345" s="13" t="s">
        <v>310</v>
      </c>
      <c r="L345" s="13"/>
      <c r="M345" s="72">
        <v>7021000000</v>
      </c>
      <c r="N345" s="13" t="s">
        <v>486</v>
      </c>
      <c r="O345" s="13">
        <v>1</v>
      </c>
      <c r="P345" s="13"/>
      <c r="Q345" s="73" t="s">
        <v>487</v>
      </c>
    </row>
    <row r="346" spans="1:17" x14ac:dyDescent="0.3">
      <c r="A346" s="13" t="s">
        <v>192</v>
      </c>
      <c r="B346" s="13" t="s">
        <v>447</v>
      </c>
      <c r="C346" s="13">
        <v>2024</v>
      </c>
      <c r="D346" s="13"/>
      <c r="E346" s="13" t="s">
        <v>497</v>
      </c>
      <c r="F346" s="72">
        <v>7177000000</v>
      </c>
      <c r="G346" s="13" t="s">
        <v>129</v>
      </c>
      <c r="H346" s="13"/>
      <c r="I346" s="13" t="s">
        <v>490</v>
      </c>
      <c r="J346" s="13" t="s">
        <v>491</v>
      </c>
      <c r="K346" s="13" t="s">
        <v>310</v>
      </c>
      <c r="L346" s="13"/>
      <c r="M346" s="72">
        <v>7177000000</v>
      </c>
      <c r="N346" s="13" t="s">
        <v>491</v>
      </c>
      <c r="O346" s="13">
        <v>1</v>
      </c>
      <c r="P346" s="13"/>
      <c r="Q346" s="73" t="s">
        <v>492</v>
      </c>
    </row>
    <row r="347" spans="1:17" x14ac:dyDescent="0.3">
      <c r="A347" s="13" t="s">
        <v>192</v>
      </c>
      <c r="B347" s="13" t="s">
        <v>447</v>
      </c>
      <c r="C347" s="13">
        <v>2025</v>
      </c>
      <c r="D347" s="13"/>
      <c r="E347" s="13" t="s">
        <v>499</v>
      </c>
      <c r="F347" s="72">
        <v>7126000000</v>
      </c>
      <c r="G347" s="13" t="s">
        <v>129</v>
      </c>
      <c r="H347" s="13"/>
      <c r="I347" s="13" t="s">
        <v>165</v>
      </c>
      <c r="J347" s="13" t="s">
        <v>166</v>
      </c>
      <c r="K347" s="13" t="s">
        <v>310</v>
      </c>
      <c r="L347" s="13"/>
      <c r="M347" s="72">
        <v>7126000000</v>
      </c>
      <c r="N347" s="13" t="s">
        <v>166</v>
      </c>
      <c r="O347" s="13">
        <v>1</v>
      </c>
      <c r="P347" s="13"/>
      <c r="Q347" s="73" t="s">
        <v>495</v>
      </c>
    </row>
    <row r="348" spans="1:17" x14ac:dyDescent="0.3">
      <c r="A348" s="13" t="s">
        <v>192</v>
      </c>
      <c r="B348" s="13" t="s">
        <v>58</v>
      </c>
      <c r="C348" s="13">
        <v>2015</v>
      </c>
      <c r="D348" s="13" t="s">
        <v>452</v>
      </c>
      <c r="E348" s="13" t="s">
        <v>453</v>
      </c>
      <c r="F348" s="72">
        <v>109830000000</v>
      </c>
      <c r="G348" s="13" t="s">
        <v>506</v>
      </c>
      <c r="H348" s="13"/>
      <c r="I348" s="13" t="s">
        <v>172</v>
      </c>
      <c r="J348" s="13" t="s">
        <v>173</v>
      </c>
      <c r="K348" s="13" t="s">
        <v>310</v>
      </c>
      <c r="L348" s="13"/>
      <c r="M348" s="72">
        <v>109830000000</v>
      </c>
      <c r="N348" s="13" t="s">
        <v>454</v>
      </c>
      <c r="O348" s="13">
        <v>4</v>
      </c>
      <c r="P348" s="13"/>
      <c r="Q348" s="73" t="s">
        <v>455</v>
      </c>
    </row>
    <row r="349" spans="1:17" x14ac:dyDescent="0.3">
      <c r="A349" s="13" t="s">
        <v>192</v>
      </c>
      <c r="B349" s="13" t="s">
        <v>58</v>
      </c>
      <c r="C349" s="13">
        <v>2016</v>
      </c>
      <c r="D349" s="13" t="s">
        <v>456</v>
      </c>
      <c r="E349" s="13" t="s">
        <v>457</v>
      </c>
      <c r="F349" s="72">
        <v>115337000000</v>
      </c>
      <c r="G349" s="13" t="s">
        <v>451</v>
      </c>
      <c r="H349" s="13"/>
      <c r="I349" s="13" t="s">
        <v>459</v>
      </c>
      <c r="J349" s="13" t="s">
        <v>460</v>
      </c>
      <c r="K349" s="13" t="s">
        <v>310</v>
      </c>
      <c r="L349" s="13"/>
      <c r="M349" s="72">
        <v>115337000000</v>
      </c>
      <c r="N349" s="13" t="s">
        <v>460</v>
      </c>
      <c r="O349" s="13">
        <v>1</v>
      </c>
      <c r="P349" s="13"/>
      <c r="Q349" s="73" t="s">
        <v>461</v>
      </c>
    </row>
    <row r="350" spans="1:17" x14ac:dyDescent="0.3">
      <c r="A350" s="13" t="s">
        <v>192</v>
      </c>
      <c r="B350" s="13" t="s">
        <v>58</v>
      </c>
      <c r="C350" s="13">
        <v>2017</v>
      </c>
      <c r="D350" s="13" t="s">
        <v>462</v>
      </c>
      <c r="E350" s="13" t="s">
        <v>463</v>
      </c>
      <c r="F350" s="72">
        <v>123280000000</v>
      </c>
      <c r="G350" s="13" t="s">
        <v>451</v>
      </c>
      <c r="H350" s="13"/>
      <c r="I350" s="13" t="s">
        <v>465</v>
      </c>
      <c r="J350" s="13" t="s">
        <v>466</v>
      </c>
      <c r="K350" s="13" t="s">
        <v>310</v>
      </c>
      <c r="L350" s="13" t="s">
        <v>408</v>
      </c>
      <c r="M350" s="72">
        <v>122662000000</v>
      </c>
      <c r="N350" s="13" t="s">
        <v>460</v>
      </c>
      <c r="O350" s="13">
        <v>2</v>
      </c>
      <c r="P350" s="13"/>
      <c r="Q350" s="73" t="s">
        <v>467</v>
      </c>
    </row>
    <row r="351" spans="1:17" x14ac:dyDescent="0.3">
      <c r="A351" s="13" t="s">
        <v>192</v>
      </c>
      <c r="B351" s="13" t="s">
        <v>58</v>
      </c>
      <c r="C351" s="13">
        <v>2018</v>
      </c>
      <c r="D351" s="13" t="s">
        <v>468</v>
      </c>
      <c r="E351" s="13" t="s">
        <v>469</v>
      </c>
      <c r="F351" s="72">
        <v>121852000000</v>
      </c>
      <c r="G351" s="13" t="s">
        <v>451</v>
      </c>
      <c r="H351" s="13"/>
      <c r="I351" s="13" t="s">
        <v>470</v>
      </c>
      <c r="J351" s="13" t="s">
        <v>471</v>
      </c>
      <c r="K351" s="13" t="s">
        <v>310</v>
      </c>
      <c r="L351" s="13" t="s">
        <v>408</v>
      </c>
      <c r="M351" s="72">
        <v>121162000000</v>
      </c>
      <c r="N351" s="13" t="s">
        <v>460</v>
      </c>
      <c r="O351" s="13">
        <v>3</v>
      </c>
      <c r="P351" s="13"/>
      <c r="Q351" s="73" t="s">
        <v>472</v>
      </c>
    </row>
    <row r="352" spans="1:17" x14ac:dyDescent="0.3">
      <c r="A352" s="13" t="s">
        <v>192</v>
      </c>
      <c r="B352" s="13" t="s">
        <v>58</v>
      </c>
      <c r="C352" s="13">
        <v>2019</v>
      </c>
      <c r="D352" s="13" t="s">
        <v>473</v>
      </c>
      <c r="E352" s="13" t="s">
        <v>474</v>
      </c>
      <c r="F352" s="72">
        <v>122286000000</v>
      </c>
      <c r="G352" s="13" t="s">
        <v>451</v>
      </c>
      <c r="H352" s="13"/>
      <c r="I352" s="13" t="s">
        <v>475</v>
      </c>
      <c r="J352" s="13" t="s">
        <v>476</v>
      </c>
      <c r="K352" s="13" t="s">
        <v>310</v>
      </c>
      <c r="L352" s="13"/>
      <c r="M352" s="72">
        <v>122286000000</v>
      </c>
      <c r="N352" s="13" t="s">
        <v>466</v>
      </c>
      <c r="O352" s="13">
        <v>3</v>
      </c>
      <c r="P352" s="13"/>
      <c r="Q352" s="73" t="s">
        <v>477</v>
      </c>
    </row>
    <row r="353" spans="1:17" x14ac:dyDescent="0.3">
      <c r="A353" s="13" t="s">
        <v>192</v>
      </c>
      <c r="B353" s="13" t="s">
        <v>58</v>
      </c>
      <c r="C353" s="13">
        <v>2020</v>
      </c>
      <c r="D353" s="13" t="s">
        <v>478</v>
      </c>
      <c r="E353" s="13" t="s">
        <v>479</v>
      </c>
      <c r="F353" s="72">
        <v>132498000000</v>
      </c>
      <c r="G353" s="13" t="s">
        <v>451</v>
      </c>
      <c r="H353" s="13"/>
      <c r="I353" s="13" t="s">
        <v>480</v>
      </c>
      <c r="J353" s="13" t="s">
        <v>481</v>
      </c>
      <c r="K353" s="13" t="s">
        <v>310</v>
      </c>
      <c r="L353" s="13"/>
      <c r="M353" s="72">
        <v>132498000000</v>
      </c>
      <c r="N353" s="13" t="s">
        <v>471</v>
      </c>
      <c r="O353" s="13">
        <v>3</v>
      </c>
      <c r="P353" s="13"/>
      <c r="Q353" s="73" t="s">
        <v>482</v>
      </c>
    </row>
    <row r="354" spans="1:17" x14ac:dyDescent="0.3">
      <c r="A354" s="13" t="s">
        <v>192</v>
      </c>
      <c r="B354" s="13" t="s">
        <v>58</v>
      </c>
      <c r="C354" s="13">
        <v>2021</v>
      </c>
      <c r="D354" s="13" t="s">
        <v>483</v>
      </c>
      <c r="E354" s="13" t="s">
        <v>484</v>
      </c>
      <c r="F354" s="72">
        <v>137888000000</v>
      </c>
      <c r="G354" s="13" t="s">
        <v>451</v>
      </c>
      <c r="H354" s="13"/>
      <c r="I354" s="13" t="s">
        <v>485</v>
      </c>
      <c r="J354" s="13" t="s">
        <v>486</v>
      </c>
      <c r="K354" s="13" t="s">
        <v>310</v>
      </c>
      <c r="L354" s="13"/>
      <c r="M354" s="72">
        <v>137888000000</v>
      </c>
      <c r="N354" s="13" t="s">
        <v>476</v>
      </c>
      <c r="O354" s="13">
        <v>3</v>
      </c>
      <c r="P354" s="13"/>
      <c r="Q354" s="73" t="s">
        <v>487</v>
      </c>
    </row>
    <row r="355" spans="1:17" x14ac:dyDescent="0.3">
      <c r="A355" s="13" t="s">
        <v>192</v>
      </c>
      <c r="B355" s="13" t="s">
        <v>58</v>
      </c>
      <c r="C355" s="13">
        <v>2022</v>
      </c>
      <c r="D355" s="13" t="s">
        <v>488</v>
      </c>
      <c r="E355" s="13" t="s">
        <v>489</v>
      </c>
      <c r="F355" s="72">
        <v>148258000000</v>
      </c>
      <c r="G355" s="13" t="s">
        <v>451</v>
      </c>
      <c r="H355" s="13"/>
      <c r="I355" s="13" t="s">
        <v>490</v>
      </c>
      <c r="J355" s="13" t="s">
        <v>491</v>
      </c>
      <c r="K355" s="13" t="s">
        <v>310</v>
      </c>
      <c r="L355" s="13"/>
      <c r="M355" s="72">
        <v>148258000000</v>
      </c>
      <c r="N355" s="13" t="s">
        <v>481</v>
      </c>
      <c r="O355" s="13">
        <v>3</v>
      </c>
      <c r="P355" s="13"/>
      <c r="Q355" s="73" t="s">
        <v>492</v>
      </c>
    </row>
    <row r="356" spans="1:17" x14ac:dyDescent="0.3">
      <c r="A356" s="13" t="s">
        <v>192</v>
      </c>
      <c r="B356" s="13" t="s">
        <v>58</v>
      </c>
      <c r="C356" s="13">
        <v>2023</v>
      </c>
      <c r="D356" s="13" t="s">
        <v>493</v>
      </c>
      <c r="E356" s="13" t="s">
        <v>494</v>
      </c>
      <c r="F356" s="72">
        <v>150039000000</v>
      </c>
      <c r="G356" s="13" t="s">
        <v>451</v>
      </c>
      <c r="H356" s="13"/>
      <c r="I356" s="13" t="s">
        <v>165</v>
      </c>
      <c r="J356" s="13" t="s">
        <v>166</v>
      </c>
      <c r="K356" s="13" t="s">
        <v>310</v>
      </c>
      <c r="L356" s="13"/>
      <c r="M356" s="72">
        <v>150039000000</v>
      </c>
      <c r="N356" s="13" t="s">
        <v>486</v>
      </c>
      <c r="O356" s="13">
        <v>3</v>
      </c>
      <c r="P356" s="13"/>
      <c r="Q356" s="73" t="s">
        <v>495</v>
      </c>
    </row>
    <row r="357" spans="1:17" x14ac:dyDescent="0.3">
      <c r="A357" s="13" t="s">
        <v>192</v>
      </c>
      <c r="B357" s="13" t="s">
        <v>58</v>
      </c>
      <c r="C357" s="13">
        <v>2024</v>
      </c>
      <c r="D357" s="13" t="s">
        <v>496</v>
      </c>
      <c r="E357" s="13" t="s">
        <v>497</v>
      </c>
      <c r="F357" s="72">
        <v>147123000000</v>
      </c>
      <c r="G357" s="13" t="s">
        <v>451</v>
      </c>
      <c r="H357" s="13"/>
      <c r="I357" s="13" t="s">
        <v>165</v>
      </c>
      <c r="J357" s="13" t="s">
        <v>166</v>
      </c>
      <c r="K357" s="13" t="s">
        <v>310</v>
      </c>
      <c r="L357" s="13"/>
      <c r="M357" s="72">
        <v>147123000000</v>
      </c>
      <c r="N357" s="13" t="s">
        <v>491</v>
      </c>
      <c r="O357" s="13">
        <v>2</v>
      </c>
      <c r="P357" s="13"/>
      <c r="Q357" s="73" t="s">
        <v>495</v>
      </c>
    </row>
    <row r="358" spans="1:17" x14ac:dyDescent="0.3">
      <c r="A358" s="13" t="s">
        <v>192</v>
      </c>
      <c r="B358" s="13" t="s">
        <v>58</v>
      </c>
      <c r="C358" s="13">
        <v>2025</v>
      </c>
      <c r="D358" s="13" t="s">
        <v>498</v>
      </c>
      <c r="E358" s="13" t="s">
        <v>499</v>
      </c>
      <c r="F358" s="72">
        <v>147642000000</v>
      </c>
      <c r="G358" s="13" t="s">
        <v>451</v>
      </c>
      <c r="H358" s="13"/>
      <c r="I358" s="13" t="s">
        <v>165</v>
      </c>
      <c r="J358" s="13" t="s">
        <v>166</v>
      </c>
      <c r="K358" s="13" t="s">
        <v>310</v>
      </c>
      <c r="L358" s="13"/>
      <c r="M358" s="72">
        <v>147642000000</v>
      </c>
      <c r="N358" s="13" t="s">
        <v>166</v>
      </c>
      <c r="O358" s="13">
        <v>1</v>
      </c>
      <c r="P358" s="13"/>
      <c r="Q358" s="73" t="s">
        <v>495</v>
      </c>
    </row>
    <row r="359" spans="1:17" x14ac:dyDescent="0.3">
      <c r="A359" s="13" t="s">
        <v>192</v>
      </c>
      <c r="B359" s="13" t="s">
        <v>448</v>
      </c>
      <c r="C359" s="13">
        <v>2015</v>
      </c>
      <c r="D359" s="13"/>
      <c r="E359" s="13" t="s">
        <v>453</v>
      </c>
      <c r="F359" s="72">
        <v>33897000000</v>
      </c>
      <c r="G359" s="13" t="s">
        <v>96</v>
      </c>
      <c r="H359" s="13"/>
      <c r="I359" s="13" t="s">
        <v>500</v>
      </c>
      <c r="J359" s="13" t="s">
        <v>501</v>
      </c>
      <c r="K359" s="13" t="s">
        <v>310</v>
      </c>
      <c r="L359" s="13"/>
      <c r="M359" s="72">
        <v>33897000000</v>
      </c>
      <c r="N359" s="13" t="s">
        <v>454</v>
      </c>
      <c r="O359" s="13">
        <v>2</v>
      </c>
      <c r="P359" s="13"/>
      <c r="Q359" s="73" t="s">
        <v>502</v>
      </c>
    </row>
    <row r="360" spans="1:17" x14ac:dyDescent="0.3">
      <c r="A360" s="13" t="s">
        <v>192</v>
      </c>
      <c r="B360" s="13" t="s">
        <v>448</v>
      </c>
      <c r="C360" s="13">
        <v>2016</v>
      </c>
      <c r="D360" s="13"/>
      <c r="E360" s="13" t="s">
        <v>457</v>
      </c>
      <c r="F360" s="72">
        <v>36505000000</v>
      </c>
      <c r="G360" s="13" t="s">
        <v>96</v>
      </c>
      <c r="H360" s="13"/>
      <c r="I360" s="13" t="s">
        <v>172</v>
      </c>
      <c r="J360" s="13" t="s">
        <v>173</v>
      </c>
      <c r="K360" s="13" t="s">
        <v>310</v>
      </c>
      <c r="L360" s="13"/>
      <c r="M360" s="72">
        <v>36505000000</v>
      </c>
      <c r="N360" s="13" t="s">
        <v>501</v>
      </c>
      <c r="O360" s="13">
        <v>3</v>
      </c>
      <c r="P360" s="13"/>
      <c r="Q360" s="73" t="s">
        <v>455</v>
      </c>
    </row>
    <row r="361" spans="1:17" x14ac:dyDescent="0.3">
      <c r="A361" s="13" t="s">
        <v>192</v>
      </c>
      <c r="B361" s="13" t="s">
        <v>448</v>
      </c>
      <c r="C361" s="13">
        <v>2017</v>
      </c>
      <c r="D361" s="13"/>
      <c r="E361" s="13" t="s">
        <v>463</v>
      </c>
      <c r="F361" s="72">
        <v>37197000000</v>
      </c>
      <c r="G361" s="13" t="s">
        <v>96</v>
      </c>
      <c r="H361" s="13"/>
      <c r="I361" s="13" t="s">
        <v>459</v>
      </c>
      <c r="J361" s="13" t="s">
        <v>460</v>
      </c>
      <c r="K361" s="13" t="s">
        <v>310</v>
      </c>
      <c r="L361" s="13"/>
      <c r="M361" s="72">
        <v>37197000000</v>
      </c>
      <c r="N361" s="13" t="s">
        <v>503</v>
      </c>
      <c r="O361" s="13">
        <v>3</v>
      </c>
      <c r="P361" s="13"/>
      <c r="Q361" s="73" t="s">
        <v>461</v>
      </c>
    </row>
    <row r="362" spans="1:17" x14ac:dyDescent="0.3">
      <c r="A362" s="13" t="s">
        <v>192</v>
      </c>
      <c r="B362" s="13" t="s">
        <v>448</v>
      </c>
      <c r="C362" s="13">
        <v>2018</v>
      </c>
      <c r="D362" s="13"/>
      <c r="E362" s="13" t="s">
        <v>469</v>
      </c>
      <c r="F362" s="72">
        <v>38118000000</v>
      </c>
      <c r="G362" s="13" t="s">
        <v>96</v>
      </c>
      <c r="H362" s="13"/>
      <c r="I362" s="13" t="s">
        <v>465</v>
      </c>
      <c r="J362" s="13" t="s">
        <v>466</v>
      </c>
      <c r="K362" s="13" t="s">
        <v>310</v>
      </c>
      <c r="L362" s="13"/>
      <c r="M362" s="72">
        <v>38118000000</v>
      </c>
      <c r="N362" s="13" t="s">
        <v>460</v>
      </c>
      <c r="O362" s="13">
        <v>2</v>
      </c>
      <c r="P362" s="13"/>
      <c r="Q362" s="73" t="s">
        <v>467</v>
      </c>
    </row>
    <row r="363" spans="1:17" x14ac:dyDescent="0.3">
      <c r="A363" s="13" t="s">
        <v>192</v>
      </c>
      <c r="B363" s="13" t="s">
        <v>448</v>
      </c>
      <c r="C363" s="13">
        <v>2019</v>
      </c>
      <c r="D363" s="13"/>
      <c r="E363" s="13" t="s">
        <v>474</v>
      </c>
      <c r="F363" s="72">
        <v>45256000000</v>
      </c>
      <c r="G363" s="13" t="s">
        <v>96</v>
      </c>
      <c r="H363" s="13"/>
      <c r="I363" s="13" t="s">
        <v>470</v>
      </c>
      <c r="J363" s="13" t="s">
        <v>471</v>
      </c>
      <c r="K363" s="13" t="s">
        <v>310</v>
      </c>
      <c r="L363" s="13"/>
      <c r="M363" s="72">
        <v>45256000000</v>
      </c>
      <c r="N363" s="13" t="s">
        <v>466</v>
      </c>
      <c r="O363" s="13">
        <v>2</v>
      </c>
      <c r="P363" s="13"/>
      <c r="Q363" s="73" t="s">
        <v>472</v>
      </c>
    </row>
    <row r="364" spans="1:17" x14ac:dyDescent="0.3">
      <c r="A364" s="13" t="s">
        <v>192</v>
      </c>
      <c r="B364" s="13" t="s">
        <v>448</v>
      </c>
      <c r="C364" s="13">
        <v>2020</v>
      </c>
      <c r="D364" s="13"/>
      <c r="E364" s="13" t="s">
        <v>479</v>
      </c>
      <c r="F364" s="72">
        <v>48662000000</v>
      </c>
      <c r="G364" s="13" t="s">
        <v>96</v>
      </c>
      <c r="H364" s="13"/>
      <c r="I364" s="13" t="s">
        <v>475</v>
      </c>
      <c r="J364" s="13" t="s">
        <v>476</v>
      </c>
      <c r="K364" s="13" t="s">
        <v>310</v>
      </c>
      <c r="L364" s="13"/>
      <c r="M364" s="72">
        <v>48662000000</v>
      </c>
      <c r="N364" s="13" t="s">
        <v>471</v>
      </c>
      <c r="O364" s="13">
        <v>2</v>
      </c>
      <c r="P364" s="13"/>
      <c r="Q364" s="73" t="s">
        <v>477</v>
      </c>
    </row>
    <row r="365" spans="1:17" x14ac:dyDescent="0.3">
      <c r="A365" s="13" t="s">
        <v>192</v>
      </c>
      <c r="B365" s="13" t="s">
        <v>448</v>
      </c>
      <c r="C365" s="13">
        <v>2021</v>
      </c>
      <c r="D365" s="13"/>
      <c r="E365" s="13" t="s">
        <v>484</v>
      </c>
      <c r="F365" s="72">
        <v>49086000000</v>
      </c>
      <c r="G365" s="13" t="s">
        <v>96</v>
      </c>
      <c r="H365" s="13"/>
      <c r="I365" s="13" t="s">
        <v>480</v>
      </c>
      <c r="J365" s="13" t="s">
        <v>481</v>
      </c>
      <c r="K365" s="13" t="s">
        <v>310</v>
      </c>
      <c r="L365" s="13"/>
      <c r="M365" s="72">
        <v>49086000000</v>
      </c>
      <c r="N365" s="13" t="s">
        <v>476</v>
      </c>
      <c r="O365" s="13">
        <v>2</v>
      </c>
      <c r="P365" s="13"/>
      <c r="Q365" s="73" t="s">
        <v>482</v>
      </c>
    </row>
    <row r="366" spans="1:17" x14ac:dyDescent="0.3">
      <c r="A366" s="13" t="s">
        <v>192</v>
      </c>
      <c r="B366" s="13" t="s">
        <v>448</v>
      </c>
      <c r="C366" s="13">
        <v>2022</v>
      </c>
      <c r="D366" s="13"/>
      <c r="E366" s="13" t="s">
        <v>489</v>
      </c>
      <c r="F366" s="72">
        <v>49623000000</v>
      </c>
      <c r="G366" s="13" t="s">
        <v>96</v>
      </c>
      <c r="H366" s="13"/>
      <c r="I366" s="13" t="s">
        <v>485</v>
      </c>
      <c r="J366" s="13" t="s">
        <v>486</v>
      </c>
      <c r="K366" s="13" t="s">
        <v>310</v>
      </c>
      <c r="L366" s="13"/>
      <c r="M366" s="72">
        <v>49623000000</v>
      </c>
      <c r="N366" s="13" t="s">
        <v>481</v>
      </c>
      <c r="O366" s="13">
        <v>2</v>
      </c>
      <c r="P366" s="13"/>
      <c r="Q366" s="73" t="s">
        <v>487</v>
      </c>
    </row>
    <row r="367" spans="1:17" x14ac:dyDescent="0.3">
      <c r="A367" s="13" t="s">
        <v>192</v>
      </c>
      <c r="B367" s="13" t="s">
        <v>448</v>
      </c>
      <c r="C367" s="13">
        <v>2023</v>
      </c>
      <c r="D367" s="13"/>
      <c r="E367" s="13" t="s">
        <v>494</v>
      </c>
      <c r="F367" s="72">
        <v>50505000000</v>
      </c>
      <c r="G367" s="13" t="s">
        <v>96</v>
      </c>
      <c r="H367" s="13"/>
      <c r="I367" s="13" t="s">
        <v>490</v>
      </c>
      <c r="J367" s="13" t="s">
        <v>491</v>
      </c>
      <c r="K367" s="13" t="s">
        <v>310</v>
      </c>
      <c r="L367" s="13"/>
      <c r="M367" s="72">
        <v>50505000000</v>
      </c>
      <c r="N367" s="13" t="s">
        <v>486</v>
      </c>
      <c r="O367" s="13">
        <v>2</v>
      </c>
      <c r="P367" s="13"/>
      <c r="Q367" s="73" t="s">
        <v>492</v>
      </c>
    </row>
    <row r="368" spans="1:17" x14ac:dyDescent="0.3">
      <c r="A368" s="13" t="s">
        <v>192</v>
      </c>
      <c r="B368" s="13" t="s">
        <v>448</v>
      </c>
      <c r="C368" s="13">
        <v>2024</v>
      </c>
      <c r="D368" s="13"/>
      <c r="E368" s="13" t="s">
        <v>497</v>
      </c>
      <c r="F368" s="72">
        <v>52616000000</v>
      </c>
      <c r="G368" s="13" t="s">
        <v>96</v>
      </c>
      <c r="H368" s="13"/>
      <c r="I368" s="13" t="s">
        <v>165</v>
      </c>
      <c r="J368" s="13" t="s">
        <v>166</v>
      </c>
      <c r="K368" s="13" t="s">
        <v>310</v>
      </c>
      <c r="L368" s="13"/>
      <c r="M368" s="72">
        <v>52616000000</v>
      </c>
      <c r="N368" s="13" t="s">
        <v>491</v>
      </c>
      <c r="O368" s="13">
        <v>2</v>
      </c>
      <c r="P368" s="13"/>
      <c r="Q368" s="73" t="s">
        <v>495</v>
      </c>
    </row>
    <row r="369" spans="1:17" x14ac:dyDescent="0.3">
      <c r="A369" s="13" t="s">
        <v>192</v>
      </c>
      <c r="B369" s="13" t="s">
        <v>448</v>
      </c>
      <c r="C369" s="13">
        <v>2025</v>
      </c>
      <c r="D369" s="13"/>
      <c r="E369" s="13" t="s">
        <v>499</v>
      </c>
      <c r="F369" s="72">
        <v>49953000000</v>
      </c>
      <c r="G369" s="13" t="s">
        <v>96</v>
      </c>
      <c r="H369" s="13"/>
      <c r="I369" s="13" t="s">
        <v>165</v>
      </c>
      <c r="J369" s="13" t="s">
        <v>166</v>
      </c>
      <c r="K369" s="13" t="s">
        <v>310</v>
      </c>
      <c r="L369" s="13"/>
      <c r="M369" s="72">
        <v>49953000000</v>
      </c>
      <c r="N369" s="13" t="s">
        <v>166</v>
      </c>
      <c r="O369" s="13">
        <v>1</v>
      </c>
      <c r="P369" s="13"/>
      <c r="Q369" s="73" t="s">
        <v>495</v>
      </c>
    </row>
    <row r="370" spans="1:17" x14ac:dyDescent="0.3">
      <c r="A370" s="13" t="s">
        <v>192</v>
      </c>
      <c r="B370" s="13" t="s">
        <v>70</v>
      </c>
      <c r="C370" s="13">
        <v>2015</v>
      </c>
      <c r="D370" s="13"/>
      <c r="E370" s="13" t="s">
        <v>453</v>
      </c>
      <c r="F370" s="72">
        <v>6798000000</v>
      </c>
      <c r="G370" s="13" t="s">
        <v>71</v>
      </c>
      <c r="H370" s="13"/>
      <c r="I370" s="13" t="s">
        <v>459</v>
      </c>
      <c r="J370" s="13" t="s">
        <v>460</v>
      </c>
      <c r="K370" s="13" t="s">
        <v>310</v>
      </c>
      <c r="L370" s="13"/>
      <c r="M370" s="72">
        <v>6798000000</v>
      </c>
      <c r="N370" s="13" t="s">
        <v>454</v>
      </c>
      <c r="O370" s="13">
        <v>5</v>
      </c>
      <c r="P370" s="13"/>
      <c r="Q370" s="73" t="s">
        <v>461</v>
      </c>
    </row>
    <row r="371" spans="1:17" x14ac:dyDescent="0.3">
      <c r="A371" s="13" t="s">
        <v>192</v>
      </c>
      <c r="B371" s="13" t="s">
        <v>70</v>
      </c>
      <c r="C371" s="13">
        <v>2016</v>
      </c>
      <c r="D371" s="13"/>
      <c r="E371" s="13" t="s">
        <v>457</v>
      </c>
      <c r="F371" s="72">
        <v>6710000000</v>
      </c>
      <c r="G371" s="13" t="s">
        <v>71</v>
      </c>
      <c r="H371" s="13"/>
      <c r="I371" s="13" t="s">
        <v>465</v>
      </c>
      <c r="J371" s="13" t="s">
        <v>466</v>
      </c>
      <c r="K371" s="13" t="s">
        <v>310</v>
      </c>
      <c r="L371" s="13"/>
      <c r="M371" s="72">
        <v>6710000000</v>
      </c>
      <c r="N371" s="13" t="s">
        <v>501</v>
      </c>
      <c r="O371" s="13">
        <v>5</v>
      </c>
      <c r="P371" s="13"/>
      <c r="Q371" s="73" t="s">
        <v>467</v>
      </c>
    </row>
    <row r="372" spans="1:17" x14ac:dyDescent="0.3">
      <c r="A372" s="13" t="s">
        <v>192</v>
      </c>
      <c r="B372" s="13" t="s">
        <v>70</v>
      </c>
      <c r="C372" s="13">
        <v>2017</v>
      </c>
      <c r="D372" s="13"/>
      <c r="E372" s="13" t="s">
        <v>463</v>
      </c>
      <c r="F372" s="72">
        <v>6905000000</v>
      </c>
      <c r="G372" s="13" t="s">
        <v>71</v>
      </c>
      <c r="H372" s="13"/>
      <c r="I372" s="13" t="s">
        <v>470</v>
      </c>
      <c r="J372" s="13" t="s">
        <v>471</v>
      </c>
      <c r="K372" s="13" t="s">
        <v>310</v>
      </c>
      <c r="L372" s="13"/>
      <c r="M372" s="72">
        <v>6905000000</v>
      </c>
      <c r="N372" s="13" t="s">
        <v>503</v>
      </c>
      <c r="O372" s="13">
        <v>5</v>
      </c>
      <c r="P372" s="13"/>
      <c r="Q372" s="73" t="s">
        <v>472</v>
      </c>
    </row>
    <row r="373" spans="1:17" x14ac:dyDescent="0.3">
      <c r="A373" s="13" t="s">
        <v>192</v>
      </c>
      <c r="B373" s="13" t="s">
        <v>70</v>
      </c>
      <c r="C373" s="13">
        <v>2018</v>
      </c>
      <c r="D373" s="13"/>
      <c r="E373" s="13" t="s">
        <v>469</v>
      </c>
      <c r="F373" s="72">
        <v>7835000000</v>
      </c>
      <c r="G373" s="13" t="s">
        <v>71</v>
      </c>
      <c r="H373" s="13"/>
      <c r="I373" s="13" t="s">
        <v>475</v>
      </c>
      <c r="J373" s="13" t="s">
        <v>476</v>
      </c>
      <c r="K373" s="13" t="s">
        <v>310</v>
      </c>
      <c r="L373" s="13"/>
      <c r="M373" s="72">
        <v>7835000000</v>
      </c>
      <c r="N373" s="13" t="s">
        <v>460</v>
      </c>
      <c r="O373" s="13">
        <v>4</v>
      </c>
      <c r="P373" s="13"/>
      <c r="Q373" s="73" t="s">
        <v>477</v>
      </c>
    </row>
    <row r="374" spans="1:17" x14ac:dyDescent="0.3">
      <c r="A374" s="13" t="s">
        <v>192</v>
      </c>
      <c r="B374" s="13" t="s">
        <v>70</v>
      </c>
      <c r="C374" s="13">
        <v>2019</v>
      </c>
      <c r="D374" s="13"/>
      <c r="E374" s="13" t="s">
        <v>474</v>
      </c>
      <c r="F374" s="72">
        <v>8573000000</v>
      </c>
      <c r="G374" s="13" t="s">
        <v>71</v>
      </c>
      <c r="H374" s="13"/>
      <c r="I374" s="13" t="s">
        <v>480</v>
      </c>
      <c r="J374" s="13" t="s">
        <v>481</v>
      </c>
      <c r="K374" s="13" t="s">
        <v>310</v>
      </c>
      <c r="L374" s="13"/>
      <c r="M374" s="72">
        <v>8573000000</v>
      </c>
      <c r="N374" s="13" t="s">
        <v>466</v>
      </c>
      <c r="O374" s="13">
        <v>4</v>
      </c>
      <c r="P374" s="13"/>
      <c r="Q374" s="73" t="s">
        <v>482</v>
      </c>
    </row>
    <row r="375" spans="1:17" x14ac:dyDescent="0.3">
      <c r="A375" s="13" t="s">
        <v>192</v>
      </c>
      <c r="B375" s="13" t="s">
        <v>70</v>
      </c>
      <c r="C375" s="13">
        <v>2020</v>
      </c>
      <c r="D375" s="13"/>
      <c r="E375" s="13" t="s">
        <v>479</v>
      </c>
      <c r="F375" s="72">
        <v>9550000000</v>
      </c>
      <c r="G375" s="13" t="s">
        <v>71</v>
      </c>
      <c r="H375" s="13"/>
      <c r="I375" s="13" t="s">
        <v>485</v>
      </c>
      <c r="J375" s="13" t="s">
        <v>486</v>
      </c>
      <c r="K375" s="13" t="s">
        <v>310</v>
      </c>
      <c r="L375" s="13"/>
      <c r="M375" s="72">
        <v>9550000000</v>
      </c>
      <c r="N375" s="13" t="s">
        <v>471</v>
      </c>
      <c r="O375" s="13">
        <v>4</v>
      </c>
      <c r="P375" s="13"/>
      <c r="Q375" s="73" t="s">
        <v>487</v>
      </c>
    </row>
    <row r="376" spans="1:17" x14ac:dyDescent="0.3">
      <c r="A376" s="13" t="s">
        <v>192</v>
      </c>
      <c r="B376" s="13" t="s">
        <v>70</v>
      </c>
      <c r="C376" s="13">
        <v>2021</v>
      </c>
      <c r="D376" s="13"/>
      <c r="E376" s="13" t="s">
        <v>484</v>
      </c>
      <c r="F376" s="72">
        <v>9429000000</v>
      </c>
      <c r="G376" s="13" t="s">
        <v>71</v>
      </c>
      <c r="H376" s="13"/>
      <c r="I376" s="13" t="s">
        <v>490</v>
      </c>
      <c r="J376" s="13" t="s">
        <v>491</v>
      </c>
      <c r="K376" s="13" t="s">
        <v>310</v>
      </c>
      <c r="L376" s="13"/>
      <c r="M376" s="72">
        <v>9429000000</v>
      </c>
      <c r="N376" s="13" t="s">
        <v>476</v>
      </c>
      <c r="O376" s="13">
        <v>4</v>
      </c>
      <c r="P376" s="13"/>
      <c r="Q376" s="73" t="s">
        <v>492</v>
      </c>
    </row>
    <row r="377" spans="1:17" x14ac:dyDescent="0.3">
      <c r="A377" s="13" t="s">
        <v>192</v>
      </c>
      <c r="B377" s="13" t="s">
        <v>70</v>
      </c>
      <c r="C377" s="13">
        <v>2022</v>
      </c>
      <c r="D377" s="13"/>
      <c r="E377" s="13" t="s">
        <v>489</v>
      </c>
      <c r="F377" s="72">
        <v>10014000000</v>
      </c>
      <c r="G377" s="13" t="s">
        <v>71</v>
      </c>
      <c r="H377" s="13"/>
      <c r="I377" s="13" t="s">
        <v>165</v>
      </c>
      <c r="J377" s="13" t="s">
        <v>166</v>
      </c>
      <c r="K377" s="13" t="s">
        <v>310</v>
      </c>
      <c r="L377" s="13"/>
      <c r="M377" s="72">
        <v>10014000000</v>
      </c>
      <c r="N377" s="13" t="s">
        <v>481</v>
      </c>
      <c r="O377" s="13">
        <v>4</v>
      </c>
      <c r="P377" s="13"/>
      <c r="Q377" s="73" t="s">
        <v>495</v>
      </c>
    </row>
    <row r="378" spans="1:17" x14ac:dyDescent="0.3">
      <c r="A378" s="13" t="s">
        <v>192</v>
      </c>
      <c r="B378" s="13" t="s">
        <v>70</v>
      </c>
      <c r="C378" s="13">
        <v>2023</v>
      </c>
      <c r="D378" s="13"/>
      <c r="E378" s="13" t="s">
        <v>494</v>
      </c>
      <c r="F378" s="72">
        <v>11601000000</v>
      </c>
      <c r="G378" s="13" t="s">
        <v>71</v>
      </c>
      <c r="H378" s="13"/>
      <c r="I378" s="13" t="s">
        <v>165</v>
      </c>
      <c r="J378" s="13" t="s">
        <v>166</v>
      </c>
      <c r="K378" s="13" t="s">
        <v>310</v>
      </c>
      <c r="L378" s="13"/>
      <c r="M378" s="72">
        <v>11601000000</v>
      </c>
      <c r="N378" s="13" t="s">
        <v>486</v>
      </c>
      <c r="O378" s="13">
        <v>3</v>
      </c>
      <c r="P378" s="13"/>
      <c r="Q378" s="73" t="s">
        <v>495</v>
      </c>
    </row>
    <row r="379" spans="1:17" x14ac:dyDescent="0.3">
      <c r="A379" s="13" t="s">
        <v>192</v>
      </c>
      <c r="B379" s="13" t="s">
        <v>70</v>
      </c>
      <c r="C379" s="13">
        <v>2024</v>
      </c>
      <c r="D379" s="13"/>
      <c r="E379" s="13" t="s">
        <v>497</v>
      </c>
      <c r="F379" s="72">
        <v>8281000000</v>
      </c>
      <c r="G379" s="13" t="s">
        <v>71</v>
      </c>
      <c r="H379" s="13"/>
      <c r="I379" s="13" t="s">
        <v>165</v>
      </c>
      <c r="J379" s="13" t="s">
        <v>166</v>
      </c>
      <c r="K379" s="13" t="s">
        <v>310</v>
      </c>
      <c r="L379" s="13"/>
      <c r="M379" s="72">
        <v>8281000000</v>
      </c>
      <c r="N379" s="13" t="s">
        <v>491</v>
      </c>
      <c r="O379" s="13">
        <v>2</v>
      </c>
      <c r="P379" s="13"/>
      <c r="Q379" s="73" t="s">
        <v>495</v>
      </c>
    </row>
    <row r="380" spans="1:17" x14ac:dyDescent="0.3">
      <c r="A380" s="13" t="s">
        <v>192</v>
      </c>
      <c r="B380" s="13" t="s">
        <v>70</v>
      </c>
      <c r="C380" s="13">
        <v>2025</v>
      </c>
      <c r="D380" s="13"/>
      <c r="E380" s="13" t="s">
        <v>499</v>
      </c>
      <c r="F380" s="72">
        <v>5936000000</v>
      </c>
      <c r="G380" s="13" t="s">
        <v>71</v>
      </c>
      <c r="H380" s="13"/>
      <c r="I380" s="13" t="s">
        <v>165</v>
      </c>
      <c r="J380" s="13" t="s">
        <v>166</v>
      </c>
      <c r="K380" s="13" t="s">
        <v>310</v>
      </c>
      <c r="L380" s="13"/>
      <c r="M380" s="72">
        <v>5936000000</v>
      </c>
      <c r="N380" s="13" t="s">
        <v>166</v>
      </c>
      <c r="O380" s="13">
        <v>1</v>
      </c>
      <c r="P380" s="13"/>
      <c r="Q380" s="73" t="s">
        <v>495</v>
      </c>
    </row>
    <row r="381" spans="1:17" x14ac:dyDescent="0.3">
      <c r="A381" s="13" t="s">
        <v>193</v>
      </c>
      <c r="B381" s="13" t="s">
        <v>61</v>
      </c>
      <c r="C381" s="13">
        <v>2022</v>
      </c>
      <c r="D381" s="13" t="s">
        <v>507</v>
      </c>
      <c r="E381" s="13" t="s">
        <v>508</v>
      </c>
      <c r="F381" s="72">
        <v>75584000000</v>
      </c>
      <c r="G381" s="13" t="s">
        <v>133</v>
      </c>
      <c r="H381" s="13" t="s">
        <v>509</v>
      </c>
      <c r="I381" s="13" t="s">
        <v>510</v>
      </c>
      <c r="J381" s="13" t="s">
        <v>511</v>
      </c>
      <c r="K381" s="13" t="s">
        <v>310</v>
      </c>
      <c r="L381" s="13"/>
      <c r="M381" s="72">
        <v>75584000000</v>
      </c>
      <c r="N381" s="13" t="s">
        <v>511</v>
      </c>
      <c r="O381" s="13">
        <v>1</v>
      </c>
      <c r="P381" s="13" t="s">
        <v>512</v>
      </c>
      <c r="Q381" s="73" t="s">
        <v>513</v>
      </c>
    </row>
    <row r="382" spans="1:17" x14ac:dyDescent="0.3">
      <c r="A382" s="13" t="s">
        <v>193</v>
      </c>
      <c r="B382" s="13" t="s">
        <v>61</v>
      </c>
      <c r="C382" s="13">
        <v>2023</v>
      </c>
      <c r="D382" s="13" t="s">
        <v>514</v>
      </c>
      <c r="E382" s="13" t="s">
        <v>515</v>
      </c>
      <c r="F382" s="72">
        <v>76748000000</v>
      </c>
      <c r="G382" s="13" t="s">
        <v>133</v>
      </c>
      <c r="H382" s="13" t="s">
        <v>509</v>
      </c>
      <c r="I382" s="13" t="s">
        <v>176</v>
      </c>
      <c r="J382" s="13" t="s">
        <v>177</v>
      </c>
      <c r="K382" s="13" t="s">
        <v>310</v>
      </c>
      <c r="L382" s="13"/>
      <c r="M382" s="72">
        <v>76748000000</v>
      </c>
      <c r="N382" s="13" t="s">
        <v>511</v>
      </c>
      <c r="O382" s="13">
        <v>2</v>
      </c>
      <c r="P382" s="13" t="s">
        <v>516</v>
      </c>
      <c r="Q382" s="73" t="s">
        <v>517</v>
      </c>
    </row>
    <row r="383" spans="1:17" x14ac:dyDescent="0.3">
      <c r="A383" s="13" t="s">
        <v>193</v>
      </c>
      <c r="B383" s="13" t="s">
        <v>61</v>
      </c>
      <c r="C383" s="13">
        <v>2024</v>
      </c>
      <c r="D383" s="13" t="s">
        <v>518</v>
      </c>
      <c r="E383" s="13" t="s">
        <v>519</v>
      </c>
      <c r="F383" s="72">
        <v>80035000000</v>
      </c>
      <c r="G383" s="13" t="s">
        <v>133</v>
      </c>
      <c r="H383" s="13" t="s">
        <v>509</v>
      </c>
      <c r="I383" s="13" t="s">
        <v>176</v>
      </c>
      <c r="J383" s="13" t="s">
        <v>177</v>
      </c>
      <c r="K383" s="13" t="s">
        <v>310</v>
      </c>
      <c r="L383" s="13"/>
      <c r="M383" s="72">
        <v>80035000000</v>
      </c>
      <c r="N383" s="13" t="s">
        <v>511</v>
      </c>
      <c r="O383" s="13">
        <v>2</v>
      </c>
      <c r="P383" s="13" t="s">
        <v>516</v>
      </c>
      <c r="Q383" s="73" t="s">
        <v>517</v>
      </c>
    </row>
    <row r="384" spans="1:17" x14ac:dyDescent="0.3">
      <c r="A384" s="13" t="s">
        <v>193</v>
      </c>
      <c r="B384" s="13" t="s">
        <v>61</v>
      </c>
      <c r="C384" s="13">
        <v>2025</v>
      </c>
      <c r="D384" s="13" t="s">
        <v>497</v>
      </c>
      <c r="E384" s="13" t="s">
        <v>499</v>
      </c>
      <c r="F384" s="72">
        <v>82459000000</v>
      </c>
      <c r="G384" s="13" t="s">
        <v>133</v>
      </c>
      <c r="H384" s="13" t="s">
        <v>509</v>
      </c>
      <c r="I384" s="13" t="s">
        <v>176</v>
      </c>
      <c r="J384" s="13" t="s">
        <v>177</v>
      </c>
      <c r="K384" s="13" t="s">
        <v>310</v>
      </c>
      <c r="L384" s="13"/>
      <c r="M384" s="72">
        <v>82459000000</v>
      </c>
      <c r="N384" s="13" t="s">
        <v>177</v>
      </c>
      <c r="O384" s="13">
        <v>1</v>
      </c>
      <c r="P384" s="13" t="s">
        <v>516</v>
      </c>
      <c r="Q384" s="73" t="s">
        <v>517</v>
      </c>
    </row>
    <row r="385" spans="1:17" x14ac:dyDescent="0.3">
      <c r="A385" s="13" t="s">
        <v>193</v>
      </c>
      <c r="B385" s="13" t="s">
        <v>442</v>
      </c>
      <c r="C385" s="13">
        <v>2015</v>
      </c>
      <c r="D385" s="13" t="s">
        <v>452</v>
      </c>
      <c r="E385" s="13" t="s">
        <v>456</v>
      </c>
      <c r="F385" s="72">
        <v>1820000000</v>
      </c>
      <c r="G385" s="13" t="s">
        <v>139</v>
      </c>
      <c r="H385" s="13" t="s">
        <v>520</v>
      </c>
      <c r="I385" s="13" t="s">
        <v>521</v>
      </c>
      <c r="J385" s="13" t="s">
        <v>522</v>
      </c>
      <c r="K385" s="13" t="s">
        <v>310</v>
      </c>
      <c r="L385" s="13"/>
      <c r="M385" s="72">
        <v>1820000000</v>
      </c>
      <c r="N385" s="13" t="s">
        <v>523</v>
      </c>
      <c r="O385" s="13">
        <v>3</v>
      </c>
      <c r="P385" s="13" t="s">
        <v>524</v>
      </c>
      <c r="Q385" s="73" t="s">
        <v>525</v>
      </c>
    </row>
    <row r="386" spans="1:17" x14ac:dyDescent="0.3">
      <c r="A386" s="13" t="s">
        <v>193</v>
      </c>
      <c r="B386" s="13" t="s">
        <v>442</v>
      </c>
      <c r="C386" s="13">
        <v>2016</v>
      </c>
      <c r="D386" s="13" t="s">
        <v>526</v>
      </c>
      <c r="E386" s="13" t="s">
        <v>527</v>
      </c>
      <c r="F386" s="72">
        <v>1628000000</v>
      </c>
      <c r="G386" s="13" t="s">
        <v>139</v>
      </c>
      <c r="H386" s="13" t="s">
        <v>520</v>
      </c>
      <c r="I386" s="13" t="s">
        <v>528</v>
      </c>
      <c r="J386" s="13" t="s">
        <v>529</v>
      </c>
      <c r="K386" s="13" t="s">
        <v>310</v>
      </c>
      <c r="L386" s="13" t="s">
        <v>408</v>
      </c>
      <c r="M386" s="72">
        <v>1671000000</v>
      </c>
      <c r="N386" s="13" t="s">
        <v>530</v>
      </c>
      <c r="O386" s="13">
        <v>3</v>
      </c>
      <c r="P386" s="13" t="s">
        <v>531</v>
      </c>
      <c r="Q386" s="73" t="s">
        <v>532</v>
      </c>
    </row>
    <row r="387" spans="1:17" x14ac:dyDescent="0.3">
      <c r="A387" s="13" t="s">
        <v>193</v>
      </c>
      <c r="B387" s="13" t="s">
        <v>442</v>
      </c>
      <c r="C387" s="13">
        <v>2017</v>
      </c>
      <c r="D387" s="13" t="s">
        <v>533</v>
      </c>
      <c r="E387" s="13" t="s">
        <v>534</v>
      </c>
      <c r="F387" s="72">
        <v>915000000</v>
      </c>
      <c r="G387" s="13" t="s">
        <v>139</v>
      </c>
      <c r="H387" s="13" t="s">
        <v>520</v>
      </c>
      <c r="I387" s="13" t="s">
        <v>535</v>
      </c>
      <c r="J387" s="13" t="s">
        <v>536</v>
      </c>
      <c r="K387" s="13" t="s">
        <v>310</v>
      </c>
      <c r="L387" s="13" t="s">
        <v>408</v>
      </c>
      <c r="M387" s="72">
        <v>982000000</v>
      </c>
      <c r="N387" s="13" t="s">
        <v>522</v>
      </c>
      <c r="O387" s="13">
        <v>3</v>
      </c>
      <c r="P387" s="13" t="s">
        <v>537</v>
      </c>
      <c r="Q387" s="73" t="s">
        <v>538</v>
      </c>
    </row>
    <row r="388" spans="1:17" x14ac:dyDescent="0.3">
      <c r="A388" s="13" t="s">
        <v>193</v>
      </c>
      <c r="B388" s="13" t="s">
        <v>442</v>
      </c>
      <c r="C388" s="13">
        <v>2018</v>
      </c>
      <c r="D388" s="13" t="s">
        <v>539</v>
      </c>
      <c r="E388" s="13" t="s">
        <v>540</v>
      </c>
      <c r="F388" s="72">
        <v>1520000000</v>
      </c>
      <c r="G388" s="13" t="s">
        <v>139</v>
      </c>
      <c r="H388" s="13" t="s">
        <v>520</v>
      </c>
      <c r="I388" s="13" t="s">
        <v>541</v>
      </c>
      <c r="J388" s="13" t="s">
        <v>542</v>
      </c>
      <c r="K388" s="13" t="s">
        <v>310</v>
      </c>
      <c r="L388" s="13"/>
      <c r="M388" s="72">
        <v>1520000000</v>
      </c>
      <c r="N388" s="13" t="s">
        <v>529</v>
      </c>
      <c r="O388" s="13">
        <v>3</v>
      </c>
      <c r="P388" s="13" t="s">
        <v>543</v>
      </c>
      <c r="Q388" s="73" t="s">
        <v>544</v>
      </c>
    </row>
    <row r="389" spans="1:17" x14ac:dyDescent="0.3">
      <c r="A389" s="13" t="s">
        <v>193</v>
      </c>
      <c r="B389" s="13" t="s">
        <v>442</v>
      </c>
      <c r="C389" s="13">
        <v>2019</v>
      </c>
      <c r="D389" s="13" t="s">
        <v>309</v>
      </c>
      <c r="E389" s="13" t="s">
        <v>316</v>
      </c>
      <c r="F389" s="72">
        <v>1642000000</v>
      </c>
      <c r="G389" s="13" t="s">
        <v>139</v>
      </c>
      <c r="H389" s="13" t="s">
        <v>520</v>
      </c>
      <c r="I389" s="13" t="s">
        <v>545</v>
      </c>
      <c r="J389" s="13" t="s">
        <v>546</v>
      </c>
      <c r="K389" s="13" t="s">
        <v>310</v>
      </c>
      <c r="L389" s="13"/>
      <c r="M389" s="72">
        <v>1642000000</v>
      </c>
      <c r="N389" s="13" t="s">
        <v>536</v>
      </c>
      <c r="O389" s="13">
        <v>3</v>
      </c>
      <c r="P389" s="13" t="s">
        <v>547</v>
      </c>
      <c r="Q389" s="73" t="s">
        <v>548</v>
      </c>
    </row>
    <row r="390" spans="1:17" x14ac:dyDescent="0.3">
      <c r="A390" s="13" t="s">
        <v>193</v>
      </c>
      <c r="B390" s="13" t="s">
        <v>442</v>
      </c>
      <c r="C390" s="13">
        <v>2020</v>
      </c>
      <c r="D390" s="13" t="s">
        <v>474</v>
      </c>
      <c r="E390" s="13" t="s">
        <v>483</v>
      </c>
      <c r="F390" s="72">
        <v>1906000000</v>
      </c>
      <c r="G390" s="13" t="s">
        <v>139</v>
      </c>
      <c r="H390" s="13" t="s">
        <v>520</v>
      </c>
      <c r="I390" s="13" t="s">
        <v>549</v>
      </c>
      <c r="J390" s="13" t="s">
        <v>550</v>
      </c>
      <c r="K390" s="13" t="s">
        <v>310</v>
      </c>
      <c r="L390" s="13"/>
      <c r="M390" s="72">
        <v>1906000000</v>
      </c>
      <c r="N390" s="13" t="s">
        <v>542</v>
      </c>
      <c r="O390" s="13">
        <v>3</v>
      </c>
      <c r="P390" s="13" t="s">
        <v>551</v>
      </c>
      <c r="Q390" s="73" t="s">
        <v>552</v>
      </c>
    </row>
    <row r="391" spans="1:17" x14ac:dyDescent="0.3">
      <c r="A391" s="13" t="s">
        <v>193</v>
      </c>
      <c r="B391" s="13" t="s">
        <v>442</v>
      </c>
      <c r="C391" s="13">
        <v>2021</v>
      </c>
      <c r="D391" s="13" t="s">
        <v>553</v>
      </c>
      <c r="E391" s="13" t="s">
        <v>554</v>
      </c>
      <c r="F391" s="72">
        <v>2259000000</v>
      </c>
      <c r="G391" s="13" t="s">
        <v>139</v>
      </c>
      <c r="H391" s="13" t="s">
        <v>520</v>
      </c>
      <c r="I391" s="13" t="s">
        <v>555</v>
      </c>
      <c r="J391" s="13" t="s">
        <v>556</v>
      </c>
      <c r="K391" s="13" t="s">
        <v>310</v>
      </c>
      <c r="L391" s="13"/>
      <c r="M391" s="72">
        <v>2259000000</v>
      </c>
      <c r="N391" s="13" t="s">
        <v>546</v>
      </c>
      <c r="O391" s="13">
        <v>3</v>
      </c>
      <c r="P391" s="13" t="s">
        <v>557</v>
      </c>
      <c r="Q391" s="73" t="s">
        <v>558</v>
      </c>
    </row>
    <row r="392" spans="1:17" x14ac:dyDescent="0.3">
      <c r="A392" s="13" t="s">
        <v>193</v>
      </c>
      <c r="B392" s="13" t="s">
        <v>442</v>
      </c>
      <c r="C392" s="13">
        <v>2022</v>
      </c>
      <c r="D392" s="13" t="s">
        <v>507</v>
      </c>
      <c r="E392" s="13" t="s">
        <v>508</v>
      </c>
      <c r="F392" s="72">
        <v>1964000000</v>
      </c>
      <c r="G392" s="13" t="s">
        <v>139</v>
      </c>
      <c r="H392" s="13" t="s">
        <v>509</v>
      </c>
      <c r="I392" s="13" t="s">
        <v>510</v>
      </c>
      <c r="J392" s="13" t="s">
        <v>511</v>
      </c>
      <c r="K392" s="13" t="s">
        <v>310</v>
      </c>
      <c r="L392" s="13"/>
      <c r="M392" s="72">
        <v>1964000000</v>
      </c>
      <c r="N392" s="13" t="s">
        <v>550</v>
      </c>
      <c r="O392" s="13">
        <v>3</v>
      </c>
      <c r="P392" s="13" t="s">
        <v>512</v>
      </c>
      <c r="Q392" s="73" t="s">
        <v>513</v>
      </c>
    </row>
    <row r="393" spans="1:17" x14ac:dyDescent="0.3">
      <c r="A393" s="13" t="s">
        <v>193</v>
      </c>
      <c r="B393" s="13" t="s">
        <v>442</v>
      </c>
      <c r="C393" s="13">
        <v>2023</v>
      </c>
      <c r="D393" s="13" t="s">
        <v>514</v>
      </c>
      <c r="E393" s="13" t="s">
        <v>515</v>
      </c>
      <c r="F393" s="72">
        <v>2192000000</v>
      </c>
      <c r="G393" s="13" t="s">
        <v>139</v>
      </c>
      <c r="H393" s="13" t="s">
        <v>509</v>
      </c>
      <c r="I393" s="13" t="s">
        <v>176</v>
      </c>
      <c r="J393" s="13" t="s">
        <v>177</v>
      </c>
      <c r="K393" s="13" t="s">
        <v>310</v>
      </c>
      <c r="L393" s="13"/>
      <c r="M393" s="72">
        <v>2192000000</v>
      </c>
      <c r="N393" s="13" t="s">
        <v>556</v>
      </c>
      <c r="O393" s="13">
        <v>3</v>
      </c>
      <c r="P393" s="13" t="s">
        <v>516</v>
      </c>
      <c r="Q393" s="73" t="s">
        <v>517</v>
      </c>
    </row>
    <row r="394" spans="1:17" x14ac:dyDescent="0.3">
      <c r="A394" s="13" t="s">
        <v>193</v>
      </c>
      <c r="B394" s="13" t="s">
        <v>442</v>
      </c>
      <c r="C394" s="13">
        <v>2024</v>
      </c>
      <c r="D394" s="13" t="s">
        <v>518</v>
      </c>
      <c r="E394" s="13" t="s">
        <v>519</v>
      </c>
      <c r="F394" s="72">
        <v>2404000000</v>
      </c>
      <c r="G394" s="13" t="s">
        <v>139</v>
      </c>
      <c r="H394" s="13" t="s">
        <v>509</v>
      </c>
      <c r="I394" s="13" t="s">
        <v>176</v>
      </c>
      <c r="J394" s="13" t="s">
        <v>177</v>
      </c>
      <c r="K394" s="13" t="s">
        <v>310</v>
      </c>
      <c r="L394" s="13"/>
      <c r="M394" s="72">
        <v>2404000000</v>
      </c>
      <c r="N394" s="13" t="s">
        <v>511</v>
      </c>
      <c r="O394" s="13">
        <v>2</v>
      </c>
      <c r="P394" s="13" t="s">
        <v>516</v>
      </c>
      <c r="Q394" s="73" t="s">
        <v>517</v>
      </c>
    </row>
    <row r="395" spans="1:17" x14ac:dyDescent="0.3">
      <c r="A395" s="13" t="s">
        <v>193</v>
      </c>
      <c r="B395" s="13" t="s">
        <v>442</v>
      </c>
      <c r="C395" s="13">
        <v>2025</v>
      </c>
      <c r="D395" s="13" t="s">
        <v>497</v>
      </c>
      <c r="E395" s="13" t="s">
        <v>499</v>
      </c>
      <c r="F395" s="72">
        <v>2442000000</v>
      </c>
      <c r="G395" s="13" t="s">
        <v>139</v>
      </c>
      <c r="H395" s="13" t="s">
        <v>509</v>
      </c>
      <c r="I395" s="13" t="s">
        <v>176</v>
      </c>
      <c r="J395" s="13" t="s">
        <v>177</v>
      </c>
      <c r="K395" s="13" t="s">
        <v>310</v>
      </c>
      <c r="L395" s="13"/>
      <c r="M395" s="72">
        <v>2442000000</v>
      </c>
      <c r="N395" s="13" t="s">
        <v>177</v>
      </c>
      <c r="O395" s="13">
        <v>1</v>
      </c>
      <c r="P395" s="13" t="s">
        <v>516</v>
      </c>
      <c r="Q395" s="73" t="s">
        <v>517</v>
      </c>
    </row>
    <row r="396" spans="1:17" x14ac:dyDescent="0.3">
      <c r="A396" s="13" t="s">
        <v>193</v>
      </c>
      <c r="B396" s="13" t="s">
        <v>58</v>
      </c>
      <c r="C396" s="13">
        <v>2015</v>
      </c>
      <c r="D396" s="13" t="s">
        <v>452</v>
      </c>
      <c r="E396" s="13" t="s">
        <v>456</v>
      </c>
      <c r="F396" s="72">
        <v>56828000000</v>
      </c>
      <c r="G396" s="13" t="s">
        <v>431</v>
      </c>
      <c r="H396" s="13" t="s">
        <v>520</v>
      </c>
      <c r="I396" s="13" t="s">
        <v>521</v>
      </c>
      <c r="J396" s="13" t="s">
        <v>522</v>
      </c>
      <c r="K396" s="13" t="s">
        <v>310</v>
      </c>
      <c r="L396" s="13"/>
      <c r="M396" s="72">
        <v>56828000000</v>
      </c>
      <c r="N396" s="13" t="s">
        <v>523</v>
      </c>
      <c r="O396" s="13">
        <v>3</v>
      </c>
      <c r="P396" s="13" t="s">
        <v>524</v>
      </c>
      <c r="Q396" s="73" t="s">
        <v>525</v>
      </c>
    </row>
    <row r="397" spans="1:17" x14ac:dyDescent="0.3">
      <c r="A397" s="13" t="s">
        <v>193</v>
      </c>
      <c r="B397" s="13" t="s">
        <v>58</v>
      </c>
      <c r="C397" s="13">
        <v>2016</v>
      </c>
      <c r="D397" s="13" t="s">
        <v>526</v>
      </c>
      <c r="E397" s="13" t="s">
        <v>527</v>
      </c>
      <c r="F397" s="72">
        <v>57365000000</v>
      </c>
      <c r="G397" s="13" t="s">
        <v>306</v>
      </c>
      <c r="H397" s="13" t="s">
        <v>520</v>
      </c>
      <c r="I397" s="13" t="s">
        <v>528</v>
      </c>
      <c r="J397" s="13" t="s">
        <v>529</v>
      </c>
      <c r="K397" s="13" t="s">
        <v>310</v>
      </c>
      <c r="L397" s="13"/>
      <c r="M397" s="72">
        <v>57365000000</v>
      </c>
      <c r="N397" s="13" t="s">
        <v>530</v>
      </c>
      <c r="O397" s="13">
        <v>3</v>
      </c>
      <c r="P397" s="13" t="s">
        <v>531</v>
      </c>
      <c r="Q397" s="73" t="s">
        <v>532</v>
      </c>
    </row>
    <row r="398" spans="1:17" x14ac:dyDescent="0.3">
      <c r="A398" s="13" t="s">
        <v>193</v>
      </c>
      <c r="B398" s="13" t="s">
        <v>58</v>
      </c>
      <c r="C398" s="13">
        <v>2017</v>
      </c>
      <c r="D398" s="13" t="s">
        <v>533</v>
      </c>
      <c r="E398" s="13" t="s">
        <v>534</v>
      </c>
      <c r="F398" s="72">
        <v>59216000000</v>
      </c>
      <c r="G398" s="13" t="s">
        <v>306</v>
      </c>
      <c r="H398" s="13" t="s">
        <v>520</v>
      </c>
      <c r="I398" s="13" t="s">
        <v>535</v>
      </c>
      <c r="J398" s="13" t="s">
        <v>536</v>
      </c>
      <c r="K398" s="13" t="s">
        <v>310</v>
      </c>
      <c r="L398" s="13"/>
      <c r="M398" s="72">
        <v>59216000000</v>
      </c>
      <c r="N398" s="13" t="s">
        <v>522</v>
      </c>
      <c r="O398" s="13">
        <v>3</v>
      </c>
      <c r="P398" s="13" t="s">
        <v>537</v>
      </c>
      <c r="Q398" s="73" t="s">
        <v>538</v>
      </c>
    </row>
    <row r="399" spans="1:17" x14ac:dyDescent="0.3">
      <c r="A399" s="13" t="s">
        <v>193</v>
      </c>
      <c r="B399" s="13" t="s">
        <v>58</v>
      </c>
      <c r="C399" s="13">
        <v>2018</v>
      </c>
      <c r="D399" s="13" t="s">
        <v>539</v>
      </c>
      <c r="E399" s="13" t="s">
        <v>540</v>
      </c>
      <c r="F399" s="72">
        <v>57839000000</v>
      </c>
      <c r="G399" s="13" t="s">
        <v>306</v>
      </c>
      <c r="H399" s="13" t="s">
        <v>520</v>
      </c>
      <c r="I399" s="13" t="s">
        <v>541</v>
      </c>
      <c r="J399" s="13" t="s">
        <v>542</v>
      </c>
      <c r="K399" s="13" t="s">
        <v>310</v>
      </c>
      <c r="L399" s="13"/>
      <c r="M399" s="72">
        <v>57839000000</v>
      </c>
      <c r="N399" s="13" t="s">
        <v>529</v>
      </c>
      <c r="O399" s="13">
        <v>4</v>
      </c>
      <c r="P399" s="13" t="s">
        <v>543</v>
      </c>
      <c r="Q399" s="73" t="s">
        <v>544</v>
      </c>
    </row>
    <row r="400" spans="1:17" x14ac:dyDescent="0.3">
      <c r="A400" s="13" t="s">
        <v>193</v>
      </c>
      <c r="B400" s="13" t="s">
        <v>58</v>
      </c>
      <c r="C400" s="13">
        <v>2019</v>
      </c>
      <c r="D400" s="13" t="s">
        <v>309</v>
      </c>
      <c r="E400" s="13" t="s">
        <v>316</v>
      </c>
      <c r="F400" s="72">
        <v>58792000000</v>
      </c>
      <c r="G400" s="13" t="s">
        <v>306</v>
      </c>
      <c r="H400" s="13" t="s">
        <v>520</v>
      </c>
      <c r="I400" s="13" t="s">
        <v>545</v>
      </c>
      <c r="J400" s="13" t="s">
        <v>546</v>
      </c>
      <c r="K400" s="13" t="s">
        <v>310</v>
      </c>
      <c r="L400" s="13"/>
      <c r="M400" s="72">
        <v>58792000000</v>
      </c>
      <c r="N400" s="13" t="s">
        <v>536</v>
      </c>
      <c r="O400" s="13">
        <v>6</v>
      </c>
      <c r="P400" s="13" t="s">
        <v>547</v>
      </c>
      <c r="Q400" s="73" t="s">
        <v>548</v>
      </c>
    </row>
    <row r="401" spans="1:17" x14ac:dyDescent="0.3">
      <c r="A401" s="13" t="s">
        <v>193</v>
      </c>
      <c r="B401" s="13" t="s">
        <v>58</v>
      </c>
      <c r="C401" s="13">
        <v>2020</v>
      </c>
      <c r="D401" s="13" t="s">
        <v>474</v>
      </c>
      <c r="E401" s="13" t="s">
        <v>483</v>
      </c>
      <c r="F401" s="72">
        <v>63910000000</v>
      </c>
      <c r="G401" s="13" t="s">
        <v>306</v>
      </c>
      <c r="H401" s="13" t="s">
        <v>520</v>
      </c>
      <c r="I401" s="13" t="s">
        <v>549</v>
      </c>
      <c r="J401" s="13" t="s">
        <v>550</v>
      </c>
      <c r="K401" s="13" t="s">
        <v>310</v>
      </c>
      <c r="L401" s="13"/>
      <c r="M401" s="72">
        <v>63910000000</v>
      </c>
      <c r="N401" s="13" t="s">
        <v>542</v>
      </c>
      <c r="O401" s="13">
        <v>6</v>
      </c>
      <c r="P401" s="13" t="s">
        <v>551</v>
      </c>
      <c r="Q401" s="73" t="s">
        <v>552</v>
      </c>
    </row>
    <row r="402" spans="1:17" x14ac:dyDescent="0.3">
      <c r="A402" s="13" t="s">
        <v>193</v>
      </c>
      <c r="B402" s="13" t="s">
        <v>58</v>
      </c>
      <c r="C402" s="13">
        <v>2021</v>
      </c>
      <c r="D402" s="13" t="s">
        <v>553</v>
      </c>
      <c r="E402" s="13" t="s">
        <v>554</v>
      </c>
      <c r="F402" s="72">
        <v>73556000000</v>
      </c>
      <c r="G402" s="13" t="s">
        <v>306</v>
      </c>
      <c r="H402" s="13" t="s">
        <v>520</v>
      </c>
      <c r="I402" s="13" t="s">
        <v>555</v>
      </c>
      <c r="J402" s="13" t="s">
        <v>556</v>
      </c>
      <c r="K402" s="13" t="s">
        <v>310</v>
      </c>
      <c r="L402" s="13"/>
      <c r="M402" s="72">
        <v>73556000000</v>
      </c>
      <c r="N402" s="13" t="s">
        <v>546</v>
      </c>
      <c r="O402" s="13">
        <v>6</v>
      </c>
      <c r="P402" s="13" t="s">
        <v>557</v>
      </c>
      <c r="Q402" s="73" t="s">
        <v>558</v>
      </c>
    </row>
    <row r="403" spans="1:17" x14ac:dyDescent="0.3">
      <c r="A403" s="13" t="s">
        <v>193</v>
      </c>
      <c r="B403" s="13" t="s">
        <v>58</v>
      </c>
      <c r="C403" s="13">
        <v>2022</v>
      </c>
      <c r="D403" s="13" t="s">
        <v>507</v>
      </c>
      <c r="E403" s="13" t="s">
        <v>508</v>
      </c>
      <c r="F403" s="72">
        <v>84345000000</v>
      </c>
      <c r="G403" s="13" t="s">
        <v>306</v>
      </c>
      <c r="H403" s="13" t="s">
        <v>509</v>
      </c>
      <c r="I403" s="13" t="s">
        <v>510</v>
      </c>
      <c r="J403" s="13" t="s">
        <v>511</v>
      </c>
      <c r="K403" s="13" t="s">
        <v>310</v>
      </c>
      <c r="L403" s="13"/>
      <c r="M403" s="72">
        <v>84345000000</v>
      </c>
      <c r="N403" s="13" t="s">
        <v>550</v>
      </c>
      <c r="O403" s="13">
        <v>6</v>
      </c>
      <c r="P403" s="13" t="s">
        <v>512</v>
      </c>
      <c r="Q403" s="73" t="s">
        <v>513</v>
      </c>
    </row>
    <row r="404" spans="1:17" x14ac:dyDescent="0.3">
      <c r="A404" s="13" t="s">
        <v>193</v>
      </c>
      <c r="B404" s="13" t="s">
        <v>58</v>
      </c>
      <c r="C404" s="13">
        <v>2023</v>
      </c>
      <c r="D404" s="13" t="s">
        <v>514</v>
      </c>
      <c r="E404" s="13" t="s">
        <v>515</v>
      </c>
      <c r="F404" s="72">
        <v>86179000000</v>
      </c>
      <c r="G404" s="13" t="s">
        <v>306</v>
      </c>
      <c r="H404" s="13" t="s">
        <v>509</v>
      </c>
      <c r="I404" s="13" t="s">
        <v>176</v>
      </c>
      <c r="J404" s="13" t="s">
        <v>177</v>
      </c>
      <c r="K404" s="13" t="s">
        <v>310</v>
      </c>
      <c r="L404" s="13"/>
      <c r="M404" s="72">
        <v>86179000000</v>
      </c>
      <c r="N404" s="13" t="s">
        <v>556</v>
      </c>
      <c r="O404" s="13">
        <v>6</v>
      </c>
      <c r="P404" s="13" t="s">
        <v>516</v>
      </c>
      <c r="Q404" s="73" t="s">
        <v>517</v>
      </c>
    </row>
    <row r="405" spans="1:17" x14ac:dyDescent="0.3">
      <c r="A405" s="13" t="s">
        <v>193</v>
      </c>
      <c r="B405" s="13" t="s">
        <v>58</v>
      </c>
      <c r="C405" s="13">
        <v>2024</v>
      </c>
      <c r="D405" s="13" t="s">
        <v>518</v>
      </c>
      <c r="E405" s="13" t="s">
        <v>519</v>
      </c>
      <c r="F405" s="72">
        <v>90238000000</v>
      </c>
      <c r="G405" s="13" t="s">
        <v>306</v>
      </c>
      <c r="H405" s="13" t="s">
        <v>509</v>
      </c>
      <c r="I405" s="13" t="s">
        <v>176</v>
      </c>
      <c r="J405" s="13" t="s">
        <v>177</v>
      </c>
      <c r="K405" s="13" t="s">
        <v>310</v>
      </c>
      <c r="L405" s="13"/>
      <c r="M405" s="72">
        <v>90238000000</v>
      </c>
      <c r="N405" s="13" t="s">
        <v>511</v>
      </c>
      <c r="O405" s="13">
        <v>4</v>
      </c>
      <c r="P405" s="13" t="s">
        <v>516</v>
      </c>
      <c r="Q405" s="73" t="s">
        <v>517</v>
      </c>
    </row>
    <row r="406" spans="1:17" x14ac:dyDescent="0.3">
      <c r="A406" s="13" t="s">
        <v>193</v>
      </c>
      <c r="B406" s="13" t="s">
        <v>58</v>
      </c>
      <c r="C406" s="13">
        <v>2025</v>
      </c>
      <c r="D406" s="13" t="s">
        <v>497</v>
      </c>
      <c r="E406" s="13" t="s">
        <v>499</v>
      </c>
      <c r="F406" s="72">
        <v>93015000000</v>
      </c>
      <c r="G406" s="13" t="s">
        <v>306</v>
      </c>
      <c r="H406" s="13" t="s">
        <v>509</v>
      </c>
      <c r="I406" s="13" t="s">
        <v>176</v>
      </c>
      <c r="J406" s="13" t="s">
        <v>177</v>
      </c>
      <c r="K406" s="13" t="s">
        <v>310</v>
      </c>
      <c r="L406" s="13"/>
      <c r="M406" s="72">
        <v>93015000000</v>
      </c>
      <c r="N406" s="13" t="s">
        <v>177</v>
      </c>
      <c r="O406" s="13">
        <v>2</v>
      </c>
      <c r="P406" s="13" t="s">
        <v>516</v>
      </c>
      <c r="Q406" s="73" t="s">
        <v>517</v>
      </c>
    </row>
    <row r="407" spans="1:17" x14ac:dyDescent="0.3">
      <c r="A407" s="13" t="s">
        <v>193</v>
      </c>
      <c r="B407" s="13" t="s">
        <v>448</v>
      </c>
      <c r="C407" s="13">
        <v>2015</v>
      </c>
      <c r="D407" s="13"/>
      <c r="E407" s="13" t="s">
        <v>456</v>
      </c>
      <c r="F407" s="72">
        <v>13998000000</v>
      </c>
      <c r="G407" s="13" t="s">
        <v>140</v>
      </c>
      <c r="H407" s="13" t="s">
        <v>520</v>
      </c>
      <c r="I407" s="13" t="s">
        <v>521</v>
      </c>
      <c r="J407" s="13" t="s">
        <v>522</v>
      </c>
      <c r="K407" s="13" t="s">
        <v>310</v>
      </c>
      <c r="L407" s="13"/>
      <c r="M407" s="72">
        <v>13998000000</v>
      </c>
      <c r="N407" s="13" t="s">
        <v>523</v>
      </c>
      <c r="O407" s="13">
        <v>3</v>
      </c>
      <c r="P407" s="13" t="s">
        <v>524</v>
      </c>
      <c r="Q407" s="73" t="s">
        <v>525</v>
      </c>
    </row>
    <row r="408" spans="1:17" x14ac:dyDescent="0.3">
      <c r="A408" s="13" t="s">
        <v>193</v>
      </c>
      <c r="B408" s="13" t="s">
        <v>448</v>
      </c>
      <c r="C408" s="13">
        <v>2016</v>
      </c>
      <c r="D408" s="13"/>
      <c r="E408" s="13" t="s">
        <v>527</v>
      </c>
      <c r="F408" s="72">
        <v>14125000000</v>
      </c>
      <c r="G408" s="13" t="s">
        <v>140</v>
      </c>
      <c r="H408" s="13" t="s">
        <v>520</v>
      </c>
      <c r="I408" s="13" t="s">
        <v>528</v>
      </c>
      <c r="J408" s="13" t="s">
        <v>529</v>
      </c>
      <c r="K408" s="13" t="s">
        <v>310</v>
      </c>
      <c r="L408" s="13"/>
      <c r="M408" s="72">
        <v>14125000000</v>
      </c>
      <c r="N408" s="13" t="s">
        <v>530</v>
      </c>
      <c r="O408" s="13">
        <v>3</v>
      </c>
      <c r="P408" s="13" t="s">
        <v>531</v>
      </c>
      <c r="Q408" s="73" t="s">
        <v>532</v>
      </c>
    </row>
    <row r="409" spans="1:17" x14ac:dyDescent="0.3">
      <c r="A409" s="13" t="s">
        <v>193</v>
      </c>
      <c r="B409" s="13" t="s">
        <v>448</v>
      </c>
      <c r="C409" s="13">
        <v>2017</v>
      </c>
      <c r="D409" s="13"/>
      <c r="E409" s="13" t="s">
        <v>534</v>
      </c>
      <c r="F409" s="72">
        <v>13418000000</v>
      </c>
      <c r="G409" s="13" t="s">
        <v>140</v>
      </c>
      <c r="H409" s="13" t="s">
        <v>520</v>
      </c>
      <c r="I409" s="13" t="s">
        <v>535</v>
      </c>
      <c r="J409" s="13" t="s">
        <v>536</v>
      </c>
      <c r="K409" s="13" t="s">
        <v>310</v>
      </c>
      <c r="L409" s="13"/>
      <c r="M409" s="72">
        <v>13418000000</v>
      </c>
      <c r="N409" s="13" t="s">
        <v>522</v>
      </c>
      <c r="O409" s="13">
        <v>3</v>
      </c>
      <c r="P409" s="13" t="s">
        <v>537</v>
      </c>
      <c r="Q409" s="73" t="s">
        <v>538</v>
      </c>
    </row>
    <row r="410" spans="1:17" x14ac:dyDescent="0.3">
      <c r="A410" s="13" t="s">
        <v>193</v>
      </c>
      <c r="B410" s="13" t="s">
        <v>448</v>
      </c>
      <c r="C410" s="13">
        <v>2018</v>
      </c>
      <c r="D410" s="13"/>
      <c r="E410" s="13" t="s">
        <v>540</v>
      </c>
      <c r="F410" s="72">
        <v>12893000000</v>
      </c>
      <c r="G410" s="13" t="s">
        <v>140</v>
      </c>
      <c r="H410" s="13" t="s">
        <v>520</v>
      </c>
      <c r="I410" s="13" t="s">
        <v>541</v>
      </c>
      <c r="J410" s="13" t="s">
        <v>542</v>
      </c>
      <c r="K410" s="13" t="s">
        <v>310</v>
      </c>
      <c r="L410" s="13"/>
      <c r="M410" s="72">
        <v>12893000000</v>
      </c>
      <c r="N410" s="13" t="s">
        <v>529</v>
      </c>
      <c r="O410" s="13">
        <v>3</v>
      </c>
      <c r="P410" s="13" t="s">
        <v>543</v>
      </c>
      <c r="Q410" s="73" t="s">
        <v>544</v>
      </c>
    </row>
    <row r="411" spans="1:17" x14ac:dyDescent="0.3">
      <c r="A411" s="13" t="s">
        <v>193</v>
      </c>
      <c r="B411" s="13" t="s">
        <v>448</v>
      </c>
      <c r="C411" s="13">
        <v>2019</v>
      </c>
      <c r="D411" s="13"/>
      <c r="E411" s="13" t="s">
        <v>316</v>
      </c>
      <c r="F411" s="72">
        <v>13494000000</v>
      </c>
      <c r="G411" s="13" t="s">
        <v>140</v>
      </c>
      <c r="H411" s="13" t="s">
        <v>520</v>
      </c>
      <c r="I411" s="13" t="s">
        <v>545</v>
      </c>
      <c r="J411" s="13" t="s">
        <v>546</v>
      </c>
      <c r="K411" s="13" t="s">
        <v>310</v>
      </c>
      <c r="L411" s="13"/>
      <c r="M411" s="72">
        <v>13494000000</v>
      </c>
      <c r="N411" s="13" t="s">
        <v>536</v>
      </c>
      <c r="O411" s="13">
        <v>3</v>
      </c>
      <c r="P411" s="13" t="s">
        <v>547</v>
      </c>
      <c r="Q411" s="73" t="s">
        <v>548</v>
      </c>
    </row>
    <row r="412" spans="1:17" x14ac:dyDescent="0.3">
      <c r="A412" s="13" t="s">
        <v>193</v>
      </c>
      <c r="B412" s="13" t="s">
        <v>448</v>
      </c>
      <c r="C412" s="13">
        <v>2020</v>
      </c>
      <c r="D412" s="13"/>
      <c r="E412" s="13" t="s">
        <v>483</v>
      </c>
      <c r="F412" s="72">
        <v>13415000000</v>
      </c>
      <c r="G412" s="13" t="s">
        <v>140</v>
      </c>
      <c r="H412" s="13" t="s">
        <v>520</v>
      </c>
      <c r="I412" s="13" t="s">
        <v>549</v>
      </c>
      <c r="J412" s="13" t="s">
        <v>550</v>
      </c>
      <c r="K412" s="13" t="s">
        <v>310</v>
      </c>
      <c r="L412" s="13"/>
      <c r="M412" s="72">
        <v>13415000000</v>
      </c>
      <c r="N412" s="13" t="s">
        <v>542</v>
      </c>
      <c r="O412" s="13">
        <v>3</v>
      </c>
      <c r="P412" s="13" t="s">
        <v>551</v>
      </c>
      <c r="Q412" s="73" t="s">
        <v>552</v>
      </c>
    </row>
    <row r="413" spans="1:17" x14ac:dyDescent="0.3">
      <c r="A413" s="13" t="s">
        <v>193</v>
      </c>
      <c r="B413" s="13" t="s">
        <v>448</v>
      </c>
      <c r="C413" s="13">
        <v>2021</v>
      </c>
      <c r="D413" s="13"/>
      <c r="E413" s="13" t="s">
        <v>554</v>
      </c>
      <c r="F413" s="72">
        <v>14678000000</v>
      </c>
      <c r="G413" s="13" t="s">
        <v>140</v>
      </c>
      <c r="H413" s="13" t="s">
        <v>520</v>
      </c>
      <c r="I413" s="13" t="s">
        <v>555</v>
      </c>
      <c r="J413" s="13" t="s">
        <v>556</v>
      </c>
      <c r="K413" s="13" t="s">
        <v>310</v>
      </c>
      <c r="L413" s="13"/>
      <c r="M413" s="72">
        <v>14678000000</v>
      </c>
      <c r="N413" s="13" t="s">
        <v>546</v>
      </c>
      <c r="O413" s="13">
        <v>3</v>
      </c>
      <c r="P413" s="13" t="s">
        <v>557</v>
      </c>
      <c r="Q413" s="73" t="s">
        <v>558</v>
      </c>
    </row>
    <row r="414" spans="1:17" x14ac:dyDescent="0.3">
      <c r="A414" s="13" t="s">
        <v>193</v>
      </c>
      <c r="B414" s="13" t="s">
        <v>448</v>
      </c>
      <c r="C414" s="13">
        <v>2022</v>
      </c>
      <c r="D414" s="13"/>
      <c r="E414" s="13" t="s">
        <v>508</v>
      </c>
      <c r="F414" s="72">
        <v>15490000000</v>
      </c>
      <c r="G414" s="13" t="s">
        <v>140</v>
      </c>
      <c r="H414" s="13" t="s">
        <v>509</v>
      </c>
      <c r="I414" s="13" t="s">
        <v>510</v>
      </c>
      <c r="J414" s="13" t="s">
        <v>511</v>
      </c>
      <c r="K414" s="13" t="s">
        <v>310</v>
      </c>
      <c r="L414" s="13"/>
      <c r="M414" s="72">
        <v>15490000000</v>
      </c>
      <c r="N414" s="13" t="s">
        <v>550</v>
      </c>
      <c r="O414" s="13">
        <v>3</v>
      </c>
      <c r="P414" s="13" t="s">
        <v>512</v>
      </c>
      <c r="Q414" s="73" t="s">
        <v>513</v>
      </c>
    </row>
    <row r="415" spans="1:17" x14ac:dyDescent="0.3">
      <c r="A415" s="13" t="s">
        <v>193</v>
      </c>
      <c r="B415" s="13" t="s">
        <v>448</v>
      </c>
      <c r="C415" s="13">
        <v>2023</v>
      </c>
      <c r="D415" s="13"/>
      <c r="E415" s="13" t="s">
        <v>515</v>
      </c>
      <c r="F415" s="72">
        <v>15682000000</v>
      </c>
      <c r="G415" s="13" t="s">
        <v>140</v>
      </c>
      <c r="H415" s="13" t="s">
        <v>509</v>
      </c>
      <c r="I415" s="13" t="s">
        <v>176</v>
      </c>
      <c r="J415" s="13" t="s">
        <v>177</v>
      </c>
      <c r="K415" s="13" t="s">
        <v>310</v>
      </c>
      <c r="L415" s="13"/>
      <c r="M415" s="72">
        <v>15682000000</v>
      </c>
      <c r="N415" s="13" t="s">
        <v>556</v>
      </c>
      <c r="O415" s="13">
        <v>3</v>
      </c>
      <c r="P415" s="13" t="s">
        <v>516</v>
      </c>
      <c r="Q415" s="73" t="s">
        <v>517</v>
      </c>
    </row>
    <row r="416" spans="1:17" x14ac:dyDescent="0.3">
      <c r="A416" s="13" t="s">
        <v>193</v>
      </c>
      <c r="B416" s="13" t="s">
        <v>448</v>
      </c>
      <c r="C416" s="13">
        <v>2024</v>
      </c>
      <c r="D416" s="13"/>
      <c r="E416" s="13" t="s">
        <v>519</v>
      </c>
      <c r="F416" s="72">
        <v>16862000000</v>
      </c>
      <c r="G416" s="13" t="s">
        <v>140</v>
      </c>
      <c r="H416" s="13" t="s">
        <v>509</v>
      </c>
      <c r="I416" s="13" t="s">
        <v>176</v>
      </c>
      <c r="J416" s="13" t="s">
        <v>177</v>
      </c>
      <c r="K416" s="13" t="s">
        <v>310</v>
      </c>
      <c r="L416" s="13"/>
      <c r="M416" s="72">
        <v>16862000000</v>
      </c>
      <c r="N416" s="13" t="s">
        <v>511</v>
      </c>
      <c r="O416" s="13">
        <v>2</v>
      </c>
      <c r="P416" s="13" t="s">
        <v>516</v>
      </c>
      <c r="Q416" s="73" t="s">
        <v>517</v>
      </c>
    </row>
    <row r="417" spans="1:17" x14ac:dyDescent="0.3">
      <c r="A417" s="13" t="s">
        <v>193</v>
      </c>
      <c r="B417" s="13" t="s">
        <v>448</v>
      </c>
      <c r="C417" s="13">
        <v>2025</v>
      </c>
      <c r="D417" s="13"/>
      <c r="E417" s="13" t="s">
        <v>499</v>
      </c>
      <c r="F417" s="72">
        <v>17186000000</v>
      </c>
      <c r="G417" s="13" t="s">
        <v>140</v>
      </c>
      <c r="H417" s="13" t="s">
        <v>509</v>
      </c>
      <c r="I417" s="13" t="s">
        <v>176</v>
      </c>
      <c r="J417" s="13" t="s">
        <v>177</v>
      </c>
      <c r="K417" s="13" t="s">
        <v>310</v>
      </c>
      <c r="L417" s="13"/>
      <c r="M417" s="72">
        <v>17186000000</v>
      </c>
      <c r="N417" s="13" t="s">
        <v>177</v>
      </c>
      <c r="O417" s="13">
        <v>1</v>
      </c>
      <c r="P417" s="13" t="s">
        <v>516</v>
      </c>
      <c r="Q417" s="73" t="s">
        <v>517</v>
      </c>
    </row>
    <row r="418" spans="1:17" x14ac:dyDescent="0.3">
      <c r="A418" s="74" t="s">
        <v>194</v>
      </c>
      <c r="B418" s="74" t="s">
        <v>61</v>
      </c>
      <c r="C418" s="74">
        <v>2015</v>
      </c>
      <c r="D418" s="74" t="s">
        <v>559</v>
      </c>
      <c r="E418" s="74" t="s">
        <v>560</v>
      </c>
      <c r="F418" s="75">
        <v>9973000000</v>
      </c>
      <c r="G418" s="74" t="s">
        <v>145</v>
      </c>
      <c r="H418" s="74"/>
      <c r="I418" s="74" t="s">
        <v>561</v>
      </c>
      <c r="J418" s="74" t="s">
        <v>562</v>
      </c>
      <c r="K418" s="74" t="s">
        <v>423</v>
      </c>
      <c r="L418" s="74" t="s">
        <v>408</v>
      </c>
      <c r="M418" s="74"/>
      <c r="N418" s="74"/>
      <c r="O418" s="74"/>
      <c r="P418" s="74" t="s">
        <v>563</v>
      </c>
      <c r="Q418" s="76" t="s">
        <v>564</v>
      </c>
    </row>
    <row r="419" spans="1:17" x14ac:dyDescent="0.3">
      <c r="A419" s="74" t="s">
        <v>194</v>
      </c>
      <c r="B419" s="74" t="s">
        <v>61</v>
      </c>
      <c r="C419" s="74">
        <v>2016</v>
      </c>
      <c r="D419" s="74" t="s">
        <v>565</v>
      </c>
      <c r="E419" s="74" t="s">
        <v>566</v>
      </c>
      <c r="F419" s="75">
        <v>10313000000</v>
      </c>
      <c r="G419" s="74" t="s">
        <v>145</v>
      </c>
      <c r="H419" s="74"/>
      <c r="I419" s="74" t="s">
        <v>561</v>
      </c>
      <c r="J419" s="74" t="s">
        <v>562</v>
      </c>
      <c r="K419" s="74" t="s">
        <v>423</v>
      </c>
      <c r="L419" s="74" t="s">
        <v>408</v>
      </c>
      <c r="M419" s="74"/>
      <c r="N419" s="74"/>
      <c r="O419" s="74"/>
      <c r="P419" s="74" t="s">
        <v>567</v>
      </c>
      <c r="Q419" s="76" t="s">
        <v>564</v>
      </c>
    </row>
    <row r="420" spans="1:17" x14ac:dyDescent="0.3">
      <c r="A420" s="74" t="s">
        <v>194</v>
      </c>
      <c r="B420" s="74" t="s">
        <v>61</v>
      </c>
      <c r="C420" s="74">
        <v>2017</v>
      </c>
      <c r="D420" s="74" t="s">
        <v>568</v>
      </c>
      <c r="E420" s="74" t="s">
        <v>569</v>
      </c>
      <c r="F420" s="75">
        <v>10633000000</v>
      </c>
      <c r="G420" s="74" t="s">
        <v>145</v>
      </c>
      <c r="H420" s="74"/>
      <c r="I420" s="74" t="s">
        <v>561</v>
      </c>
      <c r="J420" s="74" t="s">
        <v>562</v>
      </c>
      <c r="K420" s="74" t="s">
        <v>423</v>
      </c>
      <c r="L420" s="74" t="s">
        <v>408</v>
      </c>
      <c r="M420" s="74"/>
      <c r="N420" s="74"/>
      <c r="O420" s="74"/>
      <c r="P420" s="74" t="s">
        <v>570</v>
      </c>
      <c r="Q420" s="76" t="s">
        <v>564</v>
      </c>
    </row>
    <row r="421" spans="1:17" x14ac:dyDescent="0.3">
      <c r="A421" s="13" t="s">
        <v>194</v>
      </c>
      <c r="B421" s="13" t="s">
        <v>66</v>
      </c>
      <c r="C421" s="13">
        <v>2015</v>
      </c>
      <c r="D421" s="13"/>
      <c r="E421" s="13" t="s">
        <v>560</v>
      </c>
      <c r="F421" s="72">
        <v>1544000000</v>
      </c>
      <c r="G421" s="13" t="s">
        <v>67</v>
      </c>
      <c r="H421" s="13"/>
      <c r="I421" s="13" t="s">
        <v>571</v>
      </c>
      <c r="J421" s="13" t="s">
        <v>572</v>
      </c>
      <c r="K421" s="13" t="s">
        <v>310</v>
      </c>
      <c r="L421" s="13"/>
      <c r="M421" s="72">
        <v>1544000000</v>
      </c>
      <c r="N421" s="13" t="s">
        <v>573</v>
      </c>
      <c r="O421" s="13">
        <v>2</v>
      </c>
      <c r="P421" s="13"/>
      <c r="Q421" s="73" t="s">
        <v>574</v>
      </c>
    </row>
    <row r="422" spans="1:17" x14ac:dyDescent="0.3">
      <c r="A422" s="13" t="s">
        <v>194</v>
      </c>
      <c r="B422" s="13" t="s">
        <v>66</v>
      </c>
      <c r="C422" s="13">
        <v>2016</v>
      </c>
      <c r="D422" s="13"/>
      <c r="E422" s="13" t="s">
        <v>566</v>
      </c>
      <c r="F422" s="72">
        <v>1975000000</v>
      </c>
      <c r="G422" s="13" t="s">
        <v>67</v>
      </c>
      <c r="H422" s="13"/>
      <c r="I422" s="13" t="s">
        <v>561</v>
      </c>
      <c r="J422" s="13" t="s">
        <v>562</v>
      </c>
      <c r="K422" s="13" t="s">
        <v>310</v>
      </c>
      <c r="L422" s="13"/>
      <c r="M422" s="72">
        <v>1975000000</v>
      </c>
      <c r="N422" s="13" t="s">
        <v>572</v>
      </c>
      <c r="O422" s="13">
        <v>2</v>
      </c>
      <c r="P422" s="13"/>
      <c r="Q422" s="73" t="s">
        <v>564</v>
      </c>
    </row>
    <row r="423" spans="1:17" x14ac:dyDescent="0.3">
      <c r="A423" s="13" t="s">
        <v>194</v>
      </c>
      <c r="B423" s="13" t="s">
        <v>66</v>
      </c>
      <c r="C423" s="13">
        <v>2017</v>
      </c>
      <c r="D423" s="13"/>
      <c r="E423" s="13" t="s">
        <v>569</v>
      </c>
      <c r="F423" s="72">
        <v>2145000000</v>
      </c>
      <c r="G423" s="13" t="s">
        <v>67</v>
      </c>
      <c r="H423" s="13"/>
      <c r="I423" s="13" t="s">
        <v>561</v>
      </c>
      <c r="J423" s="13" t="s">
        <v>562</v>
      </c>
      <c r="K423" s="13" t="s">
        <v>310</v>
      </c>
      <c r="L423" s="13"/>
      <c r="M423" s="72">
        <v>2145000000</v>
      </c>
      <c r="N423" s="13" t="s">
        <v>562</v>
      </c>
      <c r="O423" s="13">
        <v>1</v>
      </c>
      <c r="P423" s="13"/>
      <c r="Q423" s="73" t="s">
        <v>564</v>
      </c>
    </row>
    <row r="424" spans="1:17" x14ac:dyDescent="0.3">
      <c r="A424" s="13" t="s">
        <v>194</v>
      </c>
      <c r="B424" s="13" t="s">
        <v>68</v>
      </c>
      <c r="C424" s="13">
        <v>2015</v>
      </c>
      <c r="D424" s="13"/>
      <c r="E424" s="13" t="s">
        <v>560</v>
      </c>
      <c r="F424" s="72">
        <v>1252000000</v>
      </c>
      <c r="G424" s="13" t="s">
        <v>69</v>
      </c>
      <c r="H424" s="13"/>
      <c r="I424" s="13" t="s">
        <v>571</v>
      </c>
      <c r="J424" s="13" t="s">
        <v>572</v>
      </c>
      <c r="K424" s="13" t="s">
        <v>310</v>
      </c>
      <c r="L424" s="13"/>
      <c r="M424" s="72">
        <v>1252000000</v>
      </c>
      <c r="N424" s="13" t="s">
        <v>573</v>
      </c>
      <c r="O424" s="13">
        <v>2</v>
      </c>
      <c r="P424" s="13"/>
      <c r="Q424" s="73" t="s">
        <v>574</v>
      </c>
    </row>
    <row r="425" spans="1:17" x14ac:dyDescent="0.3">
      <c r="A425" s="13" t="s">
        <v>194</v>
      </c>
      <c r="B425" s="13" t="s">
        <v>68</v>
      </c>
      <c r="C425" s="13">
        <v>2016</v>
      </c>
      <c r="D425" s="13"/>
      <c r="E425" s="13" t="s">
        <v>566</v>
      </c>
      <c r="F425" s="72">
        <v>1341000000</v>
      </c>
      <c r="G425" s="13" t="s">
        <v>69</v>
      </c>
      <c r="H425" s="13"/>
      <c r="I425" s="13" t="s">
        <v>561</v>
      </c>
      <c r="J425" s="13" t="s">
        <v>562</v>
      </c>
      <c r="K425" s="13" t="s">
        <v>310</v>
      </c>
      <c r="L425" s="13"/>
      <c r="M425" s="72">
        <v>1341000000</v>
      </c>
      <c r="N425" s="13" t="s">
        <v>572</v>
      </c>
      <c r="O425" s="13">
        <v>2</v>
      </c>
      <c r="P425" s="13"/>
      <c r="Q425" s="73" t="s">
        <v>564</v>
      </c>
    </row>
    <row r="426" spans="1:17" x14ac:dyDescent="0.3">
      <c r="A426" s="13" t="s">
        <v>194</v>
      </c>
      <c r="B426" s="13" t="s">
        <v>68</v>
      </c>
      <c r="C426" s="13">
        <v>2017</v>
      </c>
      <c r="D426" s="13"/>
      <c r="E426" s="13" t="s">
        <v>569</v>
      </c>
      <c r="F426" s="72">
        <v>1355000000</v>
      </c>
      <c r="G426" s="13" t="s">
        <v>69</v>
      </c>
      <c r="H426" s="13"/>
      <c r="I426" s="13" t="s">
        <v>561</v>
      </c>
      <c r="J426" s="13" t="s">
        <v>562</v>
      </c>
      <c r="K426" s="13" t="s">
        <v>310</v>
      </c>
      <c r="L426" s="13"/>
      <c r="M426" s="72">
        <v>1355000000</v>
      </c>
      <c r="N426" s="13" t="s">
        <v>562</v>
      </c>
      <c r="O426" s="13">
        <v>1</v>
      </c>
      <c r="P426" s="13"/>
      <c r="Q426" s="73" t="s">
        <v>564</v>
      </c>
    </row>
    <row r="427" spans="1:17" x14ac:dyDescent="0.3">
      <c r="A427" s="13" t="s">
        <v>194</v>
      </c>
      <c r="B427" s="13" t="s">
        <v>410</v>
      </c>
      <c r="C427" s="13">
        <v>2015</v>
      </c>
      <c r="D427" s="13"/>
      <c r="E427" s="13" t="s">
        <v>560</v>
      </c>
      <c r="F427" s="72">
        <v>3769000000</v>
      </c>
      <c r="G427" s="13" t="s">
        <v>148</v>
      </c>
      <c r="H427" s="13"/>
      <c r="I427" s="13" t="s">
        <v>561</v>
      </c>
      <c r="J427" s="13" t="s">
        <v>562</v>
      </c>
      <c r="K427" s="13" t="s">
        <v>310</v>
      </c>
      <c r="L427" s="13"/>
      <c r="M427" s="72">
        <v>3769000000</v>
      </c>
      <c r="N427" s="13" t="s">
        <v>573</v>
      </c>
      <c r="O427" s="13">
        <v>3</v>
      </c>
      <c r="P427" s="13"/>
      <c r="Q427" s="73" t="s">
        <v>564</v>
      </c>
    </row>
    <row r="428" spans="1:17" x14ac:dyDescent="0.3">
      <c r="A428" s="13" t="s">
        <v>194</v>
      </c>
      <c r="B428" s="13" t="s">
        <v>410</v>
      </c>
      <c r="C428" s="13">
        <v>2016</v>
      </c>
      <c r="D428" s="13"/>
      <c r="E428" s="13" t="s">
        <v>566</v>
      </c>
      <c r="F428" s="72">
        <v>3224000000</v>
      </c>
      <c r="G428" s="13" t="s">
        <v>148</v>
      </c>
      <c r="H428" s="13"/>
      <c r="I428" s="13" t="s">
        <v>561</v>
      </c>
      <c r="J428" s="13" t="s">
        <v>562</v>
      </c>
      <c r="K428" s="13" t="s">
        <v>310</v>
      </c>
      <c r="L428" s="13"/>
      <c r="M428" s="72">
        <v>3224000000</v>
      </c>
      <c r="N428" s="13" t="s">
        <v>572</v>
      </c>
      <c r="O428" s="13">
        <v>2</v>
      </c>
      <c r="P428" s="13"/>
      <c r="Q428" s="73" t="s">
        <v>564</v>
      </c>
    </row>
    <row r="429" spans="1:17" x14ac:dyDescent="0.3">
      <c r="A429" s="13" t="s">
        <v>194</v>
      </c>
      <c r="B429" s="13" t="s">
        <v>410</v>
      </c>
      <c r="C429" s="13">
        <v>2017</v>
      </c>
      <c r="D429" s="13"/>
      <c r="E429" s="13" t="s">
        <v>569</v>
      </c>
      <c r="F429" s="72">
        <v>3430000000</v>
      </c>
      <c r="G429" s="13" t="s">
        <v>148</v>
      </c>
      <c r="H429" s="13"/>
      <c r="I429" s="13" t="s">
        <v>561</v>
      </c>
      <c r="J429" s="13" t="s">
        <v>562</v>
      </c>
      <c r="K429" s="13" t="s">
        <v>310</v>
      </c>
      <c r="L429" s="13"/>
      <c r="M429" s="72">
        <v>3430000000</v>
      </c>
      <c r="N429" s="13" t="s">
        <v>562</v>
      </c>
      <c r="O429" s="13">
        <v>1</v>
      </c>
      <c r="P429" s="13"/>
      <c r="Q429" s="73" t="s">
        <v>564</v>
      </c>
    </row>
    <row r="430" spans="1:17" x14ac:dyDescent="0.3">
      <c r="A430" s="13" t="s">
        <v>194</v>
      </c>
      <c r="B430" s="13" t="s">
        <v>411</v>
      </c>
      <c r="C430" s="13">
        <v>2015</v>
      </c>
      <c r="D430" s="13"/>
      <c r="E430" s="13" t="s">
        <v>560</v>
      </c>
      <c r="F430" s="72">
        <v>3000000</v>
      </c>
      <c r="G430" s="13" t="s">
        <v>150</v>
      </c>
      <c r="H430" s="13"/>
      <c r="I430" s="13" t="s">
        <v>571</v>
      </c>
      <c r="J430" s="13" t="s">
        <v>572</v>
      </c>
      <c r="K430" s="13" t="s">
        <v>310</v>
      </c>
      <c r="L430" s="13"/>
      <c r="M430" s="72">
        <v>3000000</v>
      </c>
      <c r="N430" s="13" t="s">
        <v>573</v>
      </c>
      <c r="O430" s="13">
        <v>2</v>
      </c>
      <c r="P430" s="13"/>
      <c r="Q430" s="73" t="s">
        <v>574</v>
      </c>
    </row>
    <row r="431" spans="1:17" x14ac:dyDescent="0.3">
      <c r="A431" s="13" t="s">
        <v>194</v>
      </c>
      <c r="B431" s="13" t="s">
        <v>411</v>
      </c>
      <c r="C431" s="13">
        <v>2016</v>
      </c>
      <c r="D431" s="13"/>
      <c r="E431" s="13" t="s">
        <v>566</v>
      </c>
      <c r="F431" s="72">
        <v>3000000</v>
      </c>
      <c r="G431" s="13" t="s">
        <v>150</v>
      </c>
      <c r="H431" s="13"/>
      <c r="I431" s="13" t="s">
        <v>571</v>
      </c>
      <c r="J431" s="13" t="s">
        <v>572</v>
      </c>
      <c r="K431" s="13" t="s">
        <v>310</v>
      </c>
      <c r="L431" s="13"/>
      <c r="M431" s="72">
        <v>3000000</v>
      </c>
      <c r="N431" s="13" t="s">
        <v>572</v>
      </c>
      <c r="O431" s="13">
        <v>1</v>
      </c>
      <c r="P431" s="13"/>
      <c r="Q431" s="73" t="s">
        <v>574</v>
      </c>
    </row>
    <row r="432" spans="1:17" x14ac:dyDescent="0.3">
      <c r="A432" s="13" t="s">
        <v>194</v>
      </c>
      <c r="B432" s="13" t="s">
        <v>419</v>
      </c>
      <c r="C432" s="13">
        <v>2015</v>
      </c>
      <c r="D432" s="13"/>
      <c r="E432" s="13" t="s">
        <v>560</v>
      </c>
      <c r="F432" s="72">
        <v>62000000</v>
      </c>
      <c r="G432" s="13" t="s">
        <v>151</v>
      </c>
      <c r="H432" s="13"/>
      <c r="I432" s="13" t="s">
        <v>571</v>
      </c>
      <c r="J432" s="13" t="s">
        <v>572</v>
      </c>
      <c r="K432" s="13" t="s">
        <v>310</v>
      </c>
      <c r="L432" s="13"/>
      <c r="M432" s="72">
        <v>62000000</v>
      </c>
      <c r="N432" s="13" t="s">
        <v>573</v>
      </c>
      <c r="O432" s="13">
        <v>2</v>
      </c>
      <c r="P432" s="13"/>
      <c r="Q432" s="73" t="s">
        <v>574</v>
      </c>
    </row>
    <row r="433" spans="1:17" x14ac:dyDescent="0.3">
      <c r="A433" s="13" t="s">
        <v>194</v>
      </c>
      <c r="B433" s="13" t="s">
        <v>419</v>
      </c>
      <c r="C433" s="13">
        <v>2016</v>
      </c>
      <c r="D433" s="13"/>
      <c r="E433" s="13" t="s">
        <v>566</v>
      </c>
      <c r="F433" s="72">
        <v>1048000000</v>
      </c>
      <c r="G433" s="13" t="s">
        <v>151</v>
      </c>
      <c r="H433" s="13"/>
      <c r="I433" s="13" t="s">
        <v>571</v>
      </c>
      <c r="J433" s="13" t="s">
        <v>572</v>
      </c>
      <c r="K433" s="13" t="s">
        <v>310</v>
      </c>
      <c r="L433" s="13"/>
      <c r="M433" s="72">
        <v>1048000000</v>
      </c>
      <c r="N433" s="13" t="s">
        <v>572</v>
      </c>
      <c r="O433" s="13">
        <v>1</v>
      </c>
      <c r="P433" s="13"/>
      <c r="Q433" s="73" t="s">
        <v>574</v>
      </c>
    </row>
    <row r="434" spans="1:17" x14ac:dyDescent="0.3">
      <c r="A434" s="13" t="s">
        <v>194</v>
      </c>
      <c r="B434" s="13" t="s">
        <v>421</v>
      </c>
      <c r="C434" s="13">
        <v>2015</v>
      </c>
      <c r="D434" s="13"/>
      <c r="E434" s="13" t="s">
        <v>560</v>
      </c>
      <c r="F434" s="72">
        <v>65000000</v>
      </c>
      <c r="G434" s="13" t="s">
        <v>152</v>
      </c>
      <c r="H434" s="13"/>
      <c r="I434" s="13" t="s">
        <v>571</v>
      </c>
      <c r="J434" s="13" t="s">
        <v>572</v>
      </c>
      <c r="K434" s="13" t="s">
        <v>310</v>
      </c>
      <c r="L434" s="13"/>
      <c r="M434" s="72">
        <v>65000000</v>
      </c>
      <c r="N434" s="13" t="s">
        <v>573</v>
      </c>
      <c r="O434" s="13">
        <v>2</v>
      </c>
      <c r="P434" s="13"/>
      <c r="Q434" s="73" t="s">
        <v>574</v>
      </c>
    </row>
    <row r="435" spans="1:17" x14ac:dyDescent="0.3">
      <c r="A435" s="13" t="s">
        <v>194</v>
      </c>
      <c r="B435" s="13" t="s">
        <v>421</v>
      </c>
      <c r="C435" s="13">
        <v>2016</v>
      </c>
      <c r="D435" s="13"/>
      <c r="E435" s="13" t="s">
        <v>566</v>
      </c>
      <c r="F435" s="72">
        <v>58000000</v>
      </c>
      <c r="G435" s="13" t="s">
        <v>152</v>
      </c>
      <c r="H435" s="13"/>
      <c r="I435" s="13" t="s">
        <v>561</v>
      </c>
      <c r="J435" s="13" t="s">
        <v>562</v>
      </c>
      <c r="K435" s="13" t="s">
        <v>310</v>
      </c>
      <c r="L435" s="13"/>
      <c r="M435" s="72">
        <v>58000000</v>
      </c>
      <c r="N435" s="13" t="s">
        <v>572</v>
      </c>
      <c r="O435" s="13">
        <v>2</v>
      </c>
      <c r="P435" s="13"/>
      <c r="Q435" s="73" t="s">
        <v>564</v>
      </c>
    </row>
    <row r="436" spans="1:17" x14ac:dyDescent="0.3">
      <c r="A436" s="13" t="s">
        <v>194</v>
      </c>
      <c r="B436" s="13" t="s">
        <v>421</v>
      </c>
      <c r="C436" s="13">
        <v>2017</v>
      </c>
      <c r="D436" s="13"/>
      <c r="E436" s="13" t="s">
        <v>569</v>
      </c>
      <c r="F436" s="72">
        <v>90000000</v>
      </c>
      <c r="G436" s="13" t="s">
        <v>152</v>
      </c>
      <c r="H436" s="13"/>
      <c r="I436" s="13" t="s">
        <v>561</v>
      </c>
      <c r="J436" s="13" t="s">
        <v>562</v>
      </c>
      <c r="K436" s="13" t="s">
        <v>310</v>
      </c>
      <c r="L436" s="13"/>
      <c r="M436" s="72">
        <v>90000000</v>
      </c>
      <c r="N436" s="13" t="s">
        <v>562</v>
      </c>
      <c r="O436" s="13">
        <v>1</v>
      </c>
      <c r="P436" s="13"/>
      <c r="Q436" s="73" t="s">
        <v>564</v>
      </c>
    </row>
    <row r="437" spans="1:17" x14ac:dyDescent="0.3">
      <c r="A437" s="13" t="s">
        <v>194</v>
      </c>
      <c r="B437" s="13" t="s">
        <v>426</v>
      </c>
      <c r="C437" s="13">
        <v>2015</v>
      </c>
      <c r="D437" s="13"/>
      <c r="E437" s="13" t="s">
        <v>560</v>
      </c>
      <c r="F437" s="72">
        <v>500000000</v>
      </c>
      <c r="G437" s="13" t="s">
        <v>98</v>
      </c>
      <c r="H437" s="13"/>
      <c r="I437" s="13" t="s">
        <v>571</v>
      </c>
      <c r="J437" s="13" t="s">
        <v>572</v>
      </c>
      <c r="K437" s="13" t="s">
        <v>310</v>
      </c>
      <c r="L437" s="13"/>
      <c r="M437" s="72">
        <v>500000000</v>
      </c>
      <c r="N437" s="13" t="s">
        <v>573</v>
      </c>
      <c r="O437" s="13">
        <v>2</v>
      </c>
      <c r="P437" s="13"/>
      <c r="Q437" s="73" t="s">
        <v>574</v>
      </c>
    </row>
    <row r="438" spans="1:17" x14ac:dyDescent="0.3">
      <c r="A438" s="13" t="s">
        <v>194</v>
      </c>
      <c r="B438" s="13" t="s">
        <v>426</v>
      </c>
      <c r="C438" s="13">
        <v>2016</v>
      </c>
      <c r="D438" s="13"/>
      <c r="E438" s="13" t="s">
        <v>566</v>
      </c>
      <c r="F438" s="72">
        <v>517000000</v>
      </c>
      <c r="G438" s="13" t="s">
        <v>98</v>
      </c>
      <c r="H438" s="13"/>
      <c r="I438" s="13" t="s">
        <v>561</v>
      </c>
      <c r="J438" s="13" t="s">
        <v>562</v>
      </c>
      <c r="K438" s="13" t="s">
        <v>310</v>
      </c>
      <c r="L438" s="13"/>
      <c r="M438" s="72">
        <v>517000000</v>
      </c>
      <c r="N438" s="13" t="s">
        <v>572</v>
      </c>
      <c r="O438" s="13">
        <v>2</v>
      </c>
      <c r="P438" s="13"/>
      <c r="Q438" s="73" t="s">
        <v>564</v>
      </c>
    </row>
    <row r="439" spans="1:17" x14ac:dyDescent="0.3">
      <c r="A439" s="13" t="s">
        <v>194</v>
      </c>
      <c r="B439" s="13" t="s">
        <v>426</v>
      </c>
      <c r="C439" s="13">
        <v>2017</v>
      </c>
      <c r="D439" s="13"/>
      <c r="E439" s="13" t="s">
        <v>569</v>
      </c>
      <c r="F439" s="72">
        <v>471000000</v>
      </c>
      <c r="G439" s="13" t="s">
        <v>98</v>
      </c>
      <c r="H439" s="13"/>
      <c r="I439" s="13" t="s">
        <v>561</v>
      </c>
      <c r="J439" s="13" t="s">
        <v>562</v>
      </c>
      <c r="K439" s="13" t="s">
        <v>310</v>
      </c>
      <c r="L439" s="13"/>
      <c r="M439" s="72">
        <v>471000000</v>
      </c>
      <c r="N439" s="13" t="s">
        <v>562</v>
      </c>
      <c r="O439" s="13">
        <v>1</v>
      </c>
      <c r="P439" s="13"/>
      <c r="Q439" s="73" t="s">
        <v>564</v>
      </c>
    </row>
    <row r="440" spans="1:17" x14ac:dyDescent="0.3">
      <c r="A440" s="13" t="s">
        <v>194</v>
      </c>
      <c r="B440" s="13" t="s">
        <v>427</v>
      </c>
      <c r="C440" s="13">
        <v>2015</v>
      </c>
      <c r="D440" s="13"/>
      <c r="E440" s="13" t="s">
        <v>560</v>
      </c>
      <c r="F440" s="72">
        <v>49000000</v>
      </c>
      <c r="G440" s="13" t="s">
        <v>110</v>
      </c>
      <c r="H440" s="13"/>
      <c r="I440" s="13" t="s">
        <v>571</v>
      </c>
      <c r="J440" s="13" t="s">
        <v>572</v>
      </c>
      <c r="K440" s="13" t="s">
        <v>310</v>
      </c>
      <c r="L440" s="13"/>
      <c r="M440" s="72">
        <v>49000000</v>
      </c>
      <c r="N440" s="13" t="s">
        <v>573</v>
      </c>
      <c r="O440" s="13">
        <v>2</v>
      </c>
      <c r="P440" s="13"/>
      <c r="Q440" s="73" t="s">
        <v>574</v>
      </c>
    </row>
    <row r="441" spans="1:17" x14ac:dyDescent="0.3">
      <c r="A441" s="13" t="s">
        <v>194</v>
      </c>
      <c r="B441" s="13" t="s">
        <v>427</v>
      </c>
      <c r="C441" s="13">
        <v>2016</v>
      </c>
      <c r="D441" s="13"/>
      <c r="E441" s="13" t="s">
        <v>566</v>
      </c>
      <c r="F441" s="72">
        <v>42000000</v>
      </c>
      <c r="G441" s="13" t="s">
        <v>110</v>
      </c>
      <c r="H441" s="13"/>
      <c r="I441" s="13" t="s">
        <v>561</v>
      </c>
      <c r="J441" s="13" t="s">
        <v>562</v>
      </c>
      <c r="K441" s="13" t="s">
        <v>310</v>
      </c>
      <c r="L441" s="13"/>
      <c r="M441" s="72">
        <v>42000000</v>
      </c>
      <c r="N441" s="13" t="s">
        <v>572</v>
      </c>
      <c r="O441" s="13">
        <v>2</v>
      </c>
      <c r="P441" s="13"/>
      <c r="Q441" s="73" t="s">
        <v>564</v>
      </c>
    </row>
    <row r="442" spans="1:17" x14ac:dyDescent="0.3">
      <c r="A442" s="13" t="s">
        <v>194</v>
      </c>
      <c r="B442" s="13" t="s">
        <v>427</v>
      </c>
      <c r="C442" s="13">
        <v>2017</v>
      </c>
      <c r="D442" s="13"/>
      <c r="E442" s="13" t="s">
        <v>569</v>
      </c>
      <c r="F442" s="72">
        <v>47000000</v>
      </c>
      <c r="G442" s="13" t="s">
        <v>110</v>
      </c>
      <c r="H442" s="13"/>
      <c r="I442" s="13" t="s">
        <v>561</v>
      </c>
      <c r="J442" s="13" t="s">
        <v>562</v>
      </c>
      <c r="K442" s="13" t="s">
        <v>310</v>
      </c>
      <c r="L442" s="13"/>
      <c r="M442" s="72">
        <v>47000000</v>
      </c>
      <c r="N442" s="13" t="s">
        <v>562</v>
      </c>
      <c r="O442" s="13">
        <v>1</v>
      </c>
      <c r="P442" s="13"/>
      <c r="Q442" s="73" t="s">
        <v>564</v>
      </c>
    </row>
    <row r="443" spans="1:17" x14ac:dyDescent="0.3">
      <c r="A443" s="13" t="s">
        <v>194</v>
      </c>
      <c r="B443" s="13" t="s">
        <v>504</v>
      </c>
      <c r="C443" s="13">
        <v>2015</v>
      </c>
      <c r="D443" s="13"/>
      <c r="E443" s="13" t="s">
        <v>560</v>
      </c>
      <c r="F443" s="72">
        <v>3000000</v>
      </c>
      <c r="G443" s="13" t="s">
        <v>126</v>
      </c>
      <c r="H443" s="13"/>
      <c r="I443" s="13" t="s">
        <v>571</v>
      </c>
      <c r="J443" s="13" t="s">
        <v>572</v>
      </c>
      <c r="K443" s="13" t="s">
        <v>310</v>
      </c>
      <c r="L443" s="13"/>
      <c r="M443" s="72">
        <v>3000000</v>
      </c>
      <c r="N443" s="13" t="s">
        <v>572</v>
      </c>
      <c r="O443" s="13">
        <v>1</v>
      </c>
      <c r="P443" s="13"/>
      <c r="Q443" s="73" t="s">
        <v>574</v>
      </c>
    </row>
    <row r="444" spans="1:17" x14ac:dyDescent="0.3">
      <c r="A444" s="13" t="s">
        <v>194</v>
      </c>
      <c r="B444" s="13" t="s">
        <v>504</v>
      </c>
      <c r="C444" s="13">
        <v>2016</v>
      </c>
      <c r="D444" s="13"/>
      <c r="E444" s="13" t="s">
        <v>566</v>
      </c>
      <c r="F444" s="72">
        <v>3000000</v>
      </c>
      <c r="G444" s="13" t="s">
        <v>126</v>
      </c>
      <c r="H444" s="13"/>
      <c r="I444" s="13" t="s">
        <v>561</v>
      </c>
      <c r="J444" s="13" t="s">
        <v>562</v>
      </c>
      <c r="K444" s="13" t="s">
        <v>310</v>
      </c>
      <c r="L444" s="13"/>
      <c r="M444" s="72">
        <v>3000000</v>
      </c>
      <c r="N444" s="13" t="s">
        <v>572</v>
      </c>
      <c r="O444" s="13">
        <v>2</v>
      </c>
      <c r="P444" s="13"/>
      <c r="Q444" s="73" t="s">
        <v>564</v>
      </c>
    </row>
    <row r="445" spans="1:17" x14ac:dyDescent="0.3">
      <c r="A445" s="13" t="s">
        <v>194</v>
      </c>
      <c r="B445" s="13" t="s">
        <v>504</v>
      </c>
      <c r="C445" s="13">
        <v>2017</v>
      </c>
      <c r="D445" s="13"/>
      <c r="E445" s="13" t="s">
        <v>569</v>
      </c>
      <c r="F445" s="72">
        <v>2000000</v>
      </c>
      <c r="G445" s="13" t="s">
        <v>126</v>
      </c>
      <c r="H445" s="13"/>
      <c r="I445" s="13" t="s">
        <v>561</v>
      </c>
      <c r="J445" s="13" t="s">
        <v>562</v>
      </c>
      <c r="K445" s="13" t="s">
        <v>310</v>
      </c>
      <c r="L445" s="13"/>
      <c r="M445" s="72">
        <v>2000000</v>
      </c>
      <c r="N445" s="13" t="s">
        <v>562</v>
      </c>
      <c r="O445" s="13">
        <v>1</v>
      </c>
      <c r="P445" s="13"/>
      <c r="Q445" s="73" t="s">
        <v>564</v>
      </c>
    </row>
    <row r="446" spans="1:17" x14ac:dyDescent="0.3">
      <c r="A446" s="13" t="s">
        <v>194</v>
      </c>
      <c r="B446" s="13" t="s">
        <v>505</v>
      </c>
      <c r="C446" s="13">
        <v>2015</v>
      </c>
      <c r="D446" s="13"/>
      <c r="E446" s="13" t="s">
        <v>560</v>
      </c>
      <c r="F446" s="72">
        <v>62000000</v>
      </c>
      <c r="G446" s="13" t="s">
        <v>128</v>
      </c>
      <c r="H446" s="13"/>
      <c r="I446" s="13" t="s">
        <v>571</v>
      </c>
      <c r="J446" s="13" t="s">
        <v>572</v>
      </c>
      <c r="K446" s="13" t="s">
        <v>310</v>
      </c>
      <c r="L446" s="13"/>
      <c r="M446" s="72">
        <v>62000000</v>
      </c>
      <c r="N446" s="13" t="s">
        <v>572</v>
      </c>
      <c r="O446" s="13">
        <v>1</v>
      </c>
      <c r="P446" s="13"/>
      <c r="Q446" s="73" t="s">
        <v>574</v>
      </c>
    </row>
    <row r="447" spans="1:17" x14ac:dyDescent="0.3">
      <c r="A447" s="13" t="s">
        <v>194</v>
      </c>
      <c r="B447" s="13" t="s">
        <v>505</v>
      </c>
      <c r="C447" s="13">
        <v>2016</v>
      </c>
      <c r="D447" s="13"/>
      <c r="E447" s="13" t="s">
        <v>566</v>
      </c>
      <c r="F447" s="72">
        <v>1048000000</v>
      </c>
      <c r="G447" s="13" t="s">
        <v>128</v>
      </c>
      <c r="H447" s="13"/>
      <c r="I447" s="13" t="s">
        <v>561</v>
      </c>
      <c r="J447" s="13" t="s">
        <v>562</v>
      </c>
      <c r="K447" s="13" t="s">
        <v>310</v>
      </c>
      <c r="L447" s="13"/>
      <c r="M447" s="72">
        <v>1048000000</v>
      </c>
      <c r="N447" s="13" t="s">
        <v>572</v>
      </c>
      <c r="O447" s="13">
        <v>2</v>
      </c>
      <c r="P447" s="13"/>
      <c r="Q447" s="73" t="s">
        <v>564</v>
      </c>
    </row>
    <row r="448" spans="1:17" x14ac:dyDescent="0.3">
      <c r="A448" s="13" t="s">
        <v>194</v>
      </c>
      <c r="B448" s="13" t="s">
        <v>505</v>
      </c>
      <c r="C448" s="13">
        <v>2017</v>
      </c>
      <c r="D448" s="13"/>
      <c r="E448" s="13" t="s">
        <v>569</v>
      </c>
      <c r="F448" s="72">
        <v>1081000000</v>
      </c>
      <c r="G448" s="13" t="s">
        <v>128</v>
      </c>
      <c r="H448" s="13"/>
      <c r="I448" s="13" t="s">
        <v>561</v>
      </c>
      <c r="J448" s="13" t="s">
        <v>562</v>
      </c>
      <c r="K448" s="13" t="s">
        <v>310</v>
      </c>
      <c r="L448" s="13"/>
      <c r="M448" s="72">
        <v>1081000000</v>
      </c>
      <c r="N448" s="13" t="s">
        <v>562</v>
      </c>
      <c r="O448" s="13">
        <v>1</v>
      </c>
      <c r="P448" s="13"/>
      <c r="Q448" s="73" t="s">
        <v>564</v>
      </c>
    </row>
    <row r="449" spans="1:17" x14ac:dyDescent="0.3">
      <c r="A449" s="13" t="s">
        <v>194</v>
      </c>
      <c r="B449" s="13" t="s">
        <v>63</v>
      </c>
      <c r="C449" s="13">
        <v>2015</v>
      </c>
      <c r="D449" s="13" t="s">
        <v>559</v>
      </c>
      <c r="E449" s="13" t="s">
        <v>560</v>
      </c>
      <c r="F449" s="72">
        <v>536000000</v>
      </c>
      <c r="G449" s="13" t="s">
        <v>64</v>
      </c>
      <c r="H449" s="13"/>
      <c r="I449" s="13" t="s">
        <v>561</v>
      </c>
      <c r="J449" s="13" t="s">
        <v>562</v>
      </c>
      <c r="K449" s="13" t="s">
        <v>310</v>
      </c>
      <c r="L449" s="13"/>
      <c r="M449" s="72">
        <v>536000000</v>
      </c>
      <c r="N449" s="13" t="s">
        <v>573</v>
      </c>
      <c r="O449" s="13">
        <v>3</v>
      </c>
      <c r="P449" s="13"/>
      <c r="Q449" s="73" t="s">
        <v>564</v>
      </c>
    </row>
    <row r="450" spans="1:17" x14ac:dyDescent="0.3">
      <c r="A450" s="13" t="s">
        <v>194</v>
      </c>
      <c r="B450" s="13" t="s">
        <v>63</v>
      </c>
      <c r="C450" s="13">
        <v>2016</v>
      </c>
      <c r="D450" s="13" t="s">
        <v>565</v>
      </c>
      <c r="E450" s="13" t="s">
        <v>566</v>
      </c>
      <c r="F450" s="72">
        <v>507000000</v>
      </c>
      <c r="G450" s="13" t="s">
        <v>64</v>
      </c>
      <c r="H450" s="13"/>
      <c r="I450" s="13" t="s">
        <v>561</v>
      </c>
      <c r="J450" s="13" t="s">
        <v>562</v>
      </c>
      <c r="K450" s="13" t="s">
        <v>310</v>
      </c>
      <c r="L450" s="13"/>
      <c r="M450" s="72">
        <v>507000000</v>
      </c>
      <c r="N450" s="13" t="s">
        <v>572</v>
      </c>
      <c r="O450" s="13">
        <v>2</v>
      </c>
      <c r="P450" s="13"/>
      <c r="Q450" s="73" t="s">
        <v>564</v>
      </c>
    </row>
    <row r="451" spans="1:17" x14ac:dyDescent="0.3">
      <c r="A451" s="13" t="s">
        <v>194</v>
      </c>
      <c r="B451" s="13" t="s">
        <v>63</v>
      </c>
      <c r="C451" s="13">
        <v>2017</v>
      </c>
      <c r="D451" s="13" t="s">
        <v>568</v>
      </c>
      <c r="E451" s="13" t="s">
        <v>569</v>
      </c>
      <c r="F451" s="72">
        <v>245000000</v>
      </c>
      <c r="G451" s="13" t="s">
        <v>64</v>
      </c>
      <c r="H451" s="13"/>
      <c r="I451" s="13" t="s">
        <v>561</v>
      </c>
      <c r="J451" s="13" t="s">
        <v>562</v>
      </c>
      <c r="K451" s="13" t="s">
        <v>310</v>
      </c>
      <c r="L451" s="13"/>
      <c r="M451" s="72">
        <v>245000000</v>
      </c>
      <c r="N451" s="13" t="s">
        <v>562</v>
      </c>
      <c r="O451" s="13">
        <v>1</v>
      </c>
      <c r="P451" s="13"/>
      <c r="Q451" s="73" t="s">
        <v>564</v>
      </c>
    </row>
    <row r="452" spans="1:17" x14ac:dyDescent="0.3">
      <c r="A452" s="13" t="s">
        <v>194</v>
      </c>
      <c r="B452" s="13" t="s">
        <v>442</v>
      </c>
      <c r="C452" s="13">
        <v>2015</v>
      </c>
      <c r="D452" s="13" t="s">
        <v>559</v>
      </c>
      <c r="E452" s="13" t="s">
        <v>560</v>
      </c>
      <c r="F452" s="72">
        <v>861000000</v>
      </c>
      <c r="G452" s="13" t="s">
        <v>90</v>
      </c>
      <c r="H452" s="13"/>
      <c r="I452" s="13" t="s">
        <v>561</v>
      </c>
      <c r="J452" s="13" t="s">
        <v>562</v>
      </c>
      <c r="K452" s="13" t="s">
        <v>310</v>
      </c>
      <c r="L452" s="13"/>
      <c r="M452" s="72">
        <v>861000000</v>
      </c>
      <c r="N452" s="13" t="s">
        <v>573</v>
      </c>
      <c r="O452" s="13">
        <v>3</v>
      </c>
      <c r="P452" s="13"/>
      <c r="Q452" s="73" t="s">
        <v>564</v>
      </c>
    </row>
    <row r="453" spans="1:17" x14ac:dyDescent="0.3">
      <c r="A453" s="13" t="s">
        <v>194</v>
      </c>
      <c r="B453" s="13" t="s">
        <v>442</v>
      </c>
      <c r="C453" s="13">
        <v>2016</v>
      </c>
      <c r="D453" s="13" t="s">
        <v>565</v>
      </c>
      <c r="E453" s="13" t="s">
        <v>566</v>
      </c>
      <c r="F453" s="72">
        <v>857000000</v>
      </c>
      <c r="G453" s="13" t="s">
        <v>90</v>
      </c>
      <c r="H453" s="13"/>
      <c r="I453" s="13" t="s">
        <v>561</v>
      </c>
      <c r="J453" s="13" t="s">
        <v>562</v>
      </c>
      <c r="K453" s="13" t="s">
        <v>310</v>
      </c>
      <c r="L453" s="13"/>
      <c r="M453" s="72">
        <v>857000000</v>
      </c>
      <c r="N453" s="13" t="s">
        <v>572</v>
      </c>
      <c r="O453" s="13">
        <v>2</v>
      </c>
      <c r="P453" s="13"/>
      <c r="Q453" s="73" t="s">
        <v>564</v>
      </c>
    </row>
    <row r="454" spans="1:17" x14ac:dyDescent="0.3">
      <c r="A454" s="13" t="s">
        <v>194</v>
      </c>
      <c r="B454" s="13" t="s">
        <v>442</v>
      </c>
      <c r="C454" s="13">
        <v>2017</v>
      </c>
      <c r="D454" s="13" t="s">
        <v>568</v>
      </c>
      <c r="E454" s="13" t="s">
        <v>569</v>
      </c>
      <c r="F454" s="72">
        <v>459000000</v>
      </c>
      <c r="G454" s="13" t="s">
        <v>90</v>
      </c>
      <c r="H454" s="13"/>
      <c r="I454" s="13" t="s">
        <v>561</v>
      </c>
      <c r="J454" s="13" t="s">
        <v>562</v>
      </c>
      <c r="K454" s="13" t="s">
        <v>310</v>
      </c>
      <c r="L454" s="13"/>
      <c r="M454" s="72">
        <v>459000000</v>
      </c>
      <c r="N454" s="13" t="s">
        <v>562</v>
      </c>
      <c r="O454" s="13">
        <v>1</v>
      </c>
      <c r="P454" s="13"/>
      <c r="Q454" s="73" t="s">
        <v>564</v>
      </c>
    </row>
    <row r="455" spans="1:17" x14ac:dyDescent="0.3">
      <c r="A455" s="13" t="s">
        <v>194</v>
      </c>
      <c r="B455" s="13" t="s">
        <v>58</v>
      </c>
      <c r="C455" s="13">
        <v>2015</v>
      </c>
      <c r="D455" s="13" t="s">
        <v>559</v>
      </c>
      <c r="E455" s="13" t="s">
        <v>560</v>
      </c>
      <c r="F455" s="72">
        <v>15389000000</v>
      </c>
      <c r="G455" s="13" t="s">
        <v>143</v>
      </c>
      <c r="H455" s="13"/>
      <c r="I455" s="13" t="s">
        <v>561</v>
      </c>
      <c r="J455" s="13" t="s">
        <v>562</v>
      </c>
      <c r="K455" s="13" t="s">
        <v>310</v>
      </c>
      <c r="L455" s="13"/>
      <c r="M455" s="72">
        <v>15389000000</v>
      </c>
      <c r="N455" s="13" t="s">
        <v>573</v>
      </c>
      <c r="O455" s="13">
        <v>3</v>
      </c>
      <c r="P455" s="13"/>
      <c r="Q455" s="73" t="s">
        <v>564</v>
      </c>
    </row>
    <row r="456" spans="1:17" x14ac:dyDescent="0.3">
      <c r="A456" s="13" t="s">
        <v>194</v>
      </c>
      <c r="B456" s="13" t="s">
        <v>58</v>
      </c>
      <c r="C456" s="13">
        <v>2016</v>
      </c>
      <c r="D456" s="13" t="s">
        <v>565</v>
      </c>
      <c r="E456" s="13" t="s">
        <v>566</v>
      </c>
      <c r="F456" s="72">
        <v>15724000000</v>
      </c>
      <c r="G456" s="13" t="s">
        <v>143</v>
      </c>
      <c r="H456" s="13"/>
      <c r="I456" s="13" t="s">
        <v>561</v>
      </c>
      <c r="J456" s="13" t="s">
        <v>562</v>
      </c>
      <c r="K456" s="13" t="s">
        <v>310</v>
      </c>
      <c r="L456" s="13"/>
      <c r="M456" s="72">
        <v>15724000000</v>
      </c>
      <c r="N456" s="13" t="s">
        <v>572</v>
      </c>
      <c r="O456" s="13">
        <v>2</v>
      </c>
      <c r="P456" s="13"/>
      <c r="Q456" s="73" t="s">
        <v>564</v>
      </c>
    </row>
    <row r="457" spans="1:17" x14ac:dyDescent="0.3">
      <c r="A457" s="13" t="s">
        <v>194</v>
      </c>
      <c r="B457" s="13" t="s">
        <v>58</v>
      </c>
      <c r="C457" s="13">
        <v>2017</v>
      </c>
      <c r="D457" s="13" t="s">
        <v>568</v>
      </c>
      <c r="E457" s="13" t="s">
        <v>569</v>
      </c>
      <c r="F457" s="72">
        <v>16030000000</v>
      </c>
      <c r="G457" s="13" t="s">
        <v>143</v>
      </c>
      <c r="H457" s="13"/>
      <c r="I457" s="13" t="s">
        <v>561</v>
      </c>
      <c r="J457" s="13" t="s">
        <v>562</v>
      </c>
      <c r="K457" s="13" t="s">
        <v>310</v>
      </c>
      <c r="L457" s="13"/>
      <c r="M457" s="72">
        <v>16030000000</v>
      </c>
      <c r="N457" s="13" t="s">
        <v>562</v>
      </c>
      <c r="O457" s="13">
        <v>1</v>
      </c>
      <c r="P457" s="13"/>
      <c r="Q457" s="73" t="s">
        <v>564</v>
      </c>
    </row>
    <row r="458" spans="1:17" x14ac:dyDescent="0.3">
      <c r="A458" s="13" t="s">
        <v>194</v>
      </c>
      <c r="B458" s="13" t="s">
        <v>448</v>
      </c>
      <c r="C458" s="13">
        <v>2015</v>
      </c>
      <c r="D458" s="13"/>
      <c r="E458" s="13" t="s">
        <v>560</v>
      </c>
      <c r="F458" s="72">
        <v>5741000000</v>
      </c>
      <c r="G458" s="13" t="s">
        <v>96</v>
      </c>
      <c r="H458" s="13"/>
      <c r="I458" s="13" t="s">
        <v>571</v>
      </c>
      <c r="J458" s="13" t="s">
        <v>572</v>
      </c>
      <c r="K458" s="13" t="s">
        <v>310</v>
      </c>
      <c r="L458" s="13"/>
      <c r="M458" s="72">
        <v>5741000000</v>
      </c>
      <c r="N458" s="13" t="s">
        <v>573</v>
      </c>
      <c r="O458" s="13">
        <v>2</v>
      </c>
      <c r="P458" s="13"/>
      <c r="Q458" s="73" t="s">
        <v>574</v>
      </c>
    </row>
    <row r="459" spans="1:17" x14ac:dyDescent="0.3">
      <c r="A459" s="13" t="s">
        <v>194</v>
      </c>
      <c r="B459" s="13" t="s">
        <v>448</v>
      </c>
      <c r="C459" s="13">
        <v>2016</v>
      </c>
      <c r="D459" s="13"/>
      <c r="E459" s="13" t="s">
        <v>566</v>
      </c>
      <c r="F459" s="72">
        <v>6341000000</v>
      </c>
      <c r="G459" s="13" t="s">
        <v>96</v>
      </c>
      <c r="H459" s="13"/>
      <c r="I459" s="13" t="s">
        <v>561</v>
      </c>
      <c r="J459" s="13" t="s">
        <v>562</v>
      </c>
      <c r="K459" s="13" t="s">
        <v>310</v>
      </c>
      <c r="L459" s="13"/>
      <c r="M459" s="72">
        <v>6341000000</v>
      </c>
      <c r="N459" s="13" t="s">
        <v>572</v>
      </c>
      <c r="O459" s="13">
        <v>2</v>
      </c>
      <c r="P459" s="13"/>
      <c r="Q459" s="73" t="s">
        <v>564</v>
      </c>
    </row>
    <row r="460" spans="1:17" x14ac:dyDescent="0.3">
      <c r="A460" s="13" t="s">
        <v>194</v>
      </c>
      <c r="B460" s="13" t="s">
        <v>448</v>
      </c>
      <c r="C460" s="13">
        <v>2017</v>
      </c>
      <c r="D460" s="13"/>
      <c r="E460" s="13" t="s">
        <v>569</v>
      </c>
      <c r="F460" s="72">
        <v>6676000000</v>
      </c>
      <c r="G460" s="13" t="s">
        <v>96</v>
      </c>
      <c r="H460" s="13"/>
      <c r="I460" s="13" t="s">
        <v>561</v>
      </c>
      <c r="J460" s="13" t="s">
        <v>562</v>
      </c>
      <c r="K460" s="13" t="s">
        <v>310</v>
      </c>
      <c r="L460" s="13"/>
      <c r="M460" s="72">
        <v>6676000000</v>
      </c>
      <c r="N460" s="13" t="s">
        <v>562</v>
      </c>
      <c r="O460" s="13">
        <v>1</v>
      </c>
      <c r="P460" s="13"/>
      <c r="Q460" s="73" t="s">
        <v>564</v>
      </c>
    </row>
    <row r="461" spans="1:17" x14ac:dyDescent="0.3">
      <c r="A461" s="13" t="s">
        <v>194</v>
      </c>
      <c r="B461" s="13" t="s">
        <v>70</v>
      </c>
      <c r="C461" s="13">
        <v>2015</v>
      </c>
      <c r="D461" s="13"/>
      <c r="E461" s="13" t="s">
        <v>560</v>
      </c>
      <c r="F461" s="72">
        <v>3769000000</v>
      </c>
      <c r="G461" s="13" t="s">
        <v>148</v>
      </c>
      <c r="H461" s="13"/>
      <c r="I461" s="13" t="s">
        <v>561</v>
      </c>
      <c r="J461" s="13" t="s">
        <v>562</v>
      </c>
      <c r="K461" s="13" t="s">
        <v>310</v>
      </c>
      <c r="L461" s="13"/>
      <c r="M461" s="72">
        <v>3769000000</v>
      </c>
      <c r="N461" s="13" t="s">
        <v>573</v>
      </c>
      <c r="O461" s="13">
        <v>3</v>
      </c>
      <c r="P461" s="13"/>
      <c r="Q461" s="73" t="s">
        <v>564</v>
      </c>
    </row>
    <row r="462" spans="1:17" x14ac:dyDescent="0.3">
      <c r="A462" s="13" t="s">
        <v>194</v>
      </c>
      <c r="B462" s="13" t="s">
        <v>70</v>
      </c>
      <c r="C462" s="13">
        <v>2016</v>
      </c>
      <c r="D462" s="13"/>
      <c r="E462" s="13" t="s">
        <v>566</v>
      </c>
      <c r="F462" s="72">
        <v>3224000000</v>
      </c>
      <c r="G462" s="13" t="s">
        <v>148</v>
      </c>
      <c r="H462" s="13"/>
      <c r="I462" s="13" t="s">
        <v>561</v>
      </c>
      <c r="J462" s="13" t="s">
        <v>562</v>
      </c>
      <c r="K462" s="13" t="s">
        <v>310</v>
      </c>
      <c r="L462" s="13"/>
      <c r="M462" s="72">
        <v>3224000000</v>
      </c>
      <c r="N462" s="13" t="s">
        <v>572</v>
      </c>
      <c r="O462" s="13">
        <v>2</v>
      </c>
      <c r="P462" s="13"/>
      <c r="Q462" s="73" t="s">
        <v>564</v>
      </c>
    </row>
    <row r="463" spans="1:17" x14ac:dyDescent="0.3">
      <c r="A463" s="13" t="s">
        <v>194</v>
      </c>
      <c r="B463" s="13" t="s">
        <v>70</v>
      </c>
      <c r="C463" s="13">
        <v>2017</v>
      </c>
      <c r="D463" s="13"/>
      <c r="E463" s="13" t="s">
        <v>569</v>
      </c>
      <c r="F463" s="72">
        <v>3430000000</v>
      </c>
      <c r="G463" s="13" t="s">
        <v>148</v>
      </c>
      <c r="H463" s="13"/>
      <c r="I463" s="13" t="s">
        <v>561</v>
      </c>
      <c r="J463" s="13" t="s">
        <v>562</v>
      </c>
      <c r="K463" s="13" t="s">
        <v>310</v>
      </c>
      <c r="L463" s="13"/>
      <c r="M463" s="72">
        <v>3430000000</v>
      </c>
      <c r="N463" s="13" t="s">
        <v>562</v>
      </c>
      <c r="O463" s="13">
        <v>1</v>
      </c>
      <c r="P463" s="13"/>
      <c r="Q463" s="73" t="s">
        <v>564</v>
      </c>
    </row>
    <row r="464" spans="1:17" x14ac:dyDescent="0.3">
      <c r="A464" s="13" t="s">
        <v>190</v>
      </c>
      <c r="B464" s="13" t="s">
        <v>61</v>
      </c>
      <c r="C464" s="13">
        <v>2015</v>
      </c>
      <c r="D464" s="13" t="s">
        <v>452</v>
      </c>
      <c r="E464" s="13" t="s">
        <v>456</v>
      </c>
      <c r="F464" s="72">
        <v>360984000000</v>
      </c>
      <c r="G464" s="13" t="s">
        <v>62</v>
      </c>
      <c r="H464" s="13"/>
      <c r="I464" s="13" t="s">
        <v>521</v>
      </c>
      <c r="J464" s="13" t="s">
        <v>522</v>
      </c>
      <c r="K464" s="13" t="s">
        <v>310</v>
      </c>
      <c r="L464" s="13"/>
      <c r="M464" s="72">
        <v>360984000000</v>
      </c>
      <c r="N464" s="13" t="s">
        <v>523</v>
      </c>
      <c r="O464" s="13">
        <v>3</v>
      </c>
      <c r="P464" s="13"/>
      <c r="Q464" s="73" t="s">
        <v>525</v>
      </c>
    </row>
    <row r="465" spans="1:17" x14ac:dyDescent="0.3">
      <c r="A465" s="13" t="s">
        <v>190</v>
      </c>
      <c r="B465" s="13" t="s">
        <v>61</v>
      </c>
      <c r="C465" s="13">
        <v>2016</v>
      </c>
      <c r="D465" s="13" t="s">
        <v>526</v>
      </c>
      <c r="E465" s="13" t="s">
        <v>527</v>
      </c>
      <c r="F465" s="72">
        <v>361256000000</v>
      </c>
      <c r="G465" s="13" t="s">
        <v>62</v>
      </c>
      <c r="H465" s="13"/>
      <c r="I465" s="13" t="s">
        <v>528</v>
      </c>
      <c r="J465" s="13" t="s">
        <v>529</v>
      </c>
      <c r="K465" s="13" t="s">
        <v>310</v>
      </c>
      <c r="L465" s="13"/>
      <c r="M465" s="72">
        <v>361256000000</v>
      </c>
      <c r="N465" s="13" t="s">
        <v>530</v>
      </c>
      <c r="O465" s="13">
        <v>3</v>
      </c>
      <c r="P465" s="13"/>
      <c r="Q465" s="73" t="s">
        <v>532</v>
      </c>
    </row>
    <row r="466" spans="1:17" x14ac:dyDescent="0.3">
      <c r="A466" s="13" t="s">
        <v>190</v>
      </c>
      <c r="B466" s="13" t="s">
        <v>61</v>
      </c>
      <c r="C466" s="13">
        <v>2017</v>
      </c>
      <c r="D466" s="13" t="s">
        <v>533</v>
      </c>
      <c r="E466" s="13" t="s">
        <v>534</v>
      </c>
      <c r="F466" s="72">
        <v>373396000000</v>
      </c>
      <c r="G466" s="13" t="s">
        <v>62</v>
      </c>
      <c r="H466" s="13"/>
      <c r="I466" s="13" t="s">
        <v>535</v>
      </c>
      <c r="J466" s="13" t="s">
        <v>536</v>
      </c>
      <c r="K466" s="13" t="s">
        <v>310</v>
      </c>
      <c r="L466" s="13"/>
      <c r="M466" s="72">
        <v>373396000000</v>
      </c>
      <c r="N466" s="13" t="s">
        <v>522</v>
      </c>
      <c r="O466" s="13">
        <v>3</v>
      </c>
      <c r="P466" s="13"/>
      <c r="Q466" s="73" t="s">
        <v>538</v>
      </c>
    </row>
    <row r="467" spans="1:17" x14ac:dyDescent="0.3">
      <c r="A467" s="13" t="s">
        <v>190</v>
      </c>
      <c r="B467" s="13" t="s">
        <v>61</v>
      </c>
      <c r="C467" s="13">
        <v>2018</v>
      </c>
      <c r="D467" s="13" t="s">
        <v>539</v>
      </c>
      <c r="E467" s="13" t="s">
        <v>540</v>
      </c>
      <c r="F467" s="72">
        <v>385301000000</v>
      </c>
      <c r="G467" s="13" t="s">
        <v>62</v>
      </c>
      <c r="H467" s="13"/>
      <c r="I467" s="13" t="s">
        <v>541</v>
      </c>
      <c r="J467" s="13" t="s">
        <v>542</v>
      </c>
      <c r="K467" s="13" t="s">
        <v>310</v>
      </c>
      <c r="L467" s="13"/>
      <c r="M467" s="72">
        <v>385301000000</v>
      </c>
      <c r="N467" s="13" t="s">
        <v>529</v>
      </c>
      <c r="O467" s="13">
        <v>3</v>
      </c>
      <c r="P467" s="13"/>
      <c r="Q467" s="73" t="s">
        <v>544</v>
      </c>
    </row>
    <row r="468" spans="1:17" x14ac:dyDescent="0.3">
      <c r="A468" s="13" t="s">
        <v>190</v>
      </c>
      <c r="B468" s="13" t="s">
        <v>61</v>
      </c>
      <c r="C468" s="13">
        <v>2019</v>
      </c>
      <c r="D468" s="13" t="s">
        <v>309</v>
      </c>
      <c r="E468" s="13" t="s">
        <v>316</v>
      </c>
      <c r="F468" s="72">
        <v>394605000000</v>
      </c>
      <c r="G468" s="13" t="s">
        <v>62</v>
      </c>
      <c r="H468" s="13"/>
      <c r="I468" s="13" t="s">
        <v>545</v>
      </c>
      <c r="J468" s="13" t="s">
        <v>546</v>
      </c>
      <c r="K468" s="13" t="s">
        <v>310</v>
      </c>
      <c r="L468" s="13"/>
      <c r="M468" s="72">
        <v>394605000000</v>
      </c>
      <c r="N468" s="13" t="s">
        <v>536</v>
      </c>
      <c r="O468" s="13">
        <v>3</v>
      </c>
      <c r="P468" s="13"/>
      <c r="Q468" s="73" t="s">
        <v>548</v>
      </c>
    </row>
    <row r="469" spans="1:17" x14ac:dyDescent="0.3">
      <c r="A469" s="13" t="s">
        <v>190</v>
      </c>
      <c r="B469" s="13" t="s">
        <v>61</v>
      </c>
      <c r="C469" s="13">
        <v>2020</v>
      </c>
      <c r="D469" s="13" t="s">
        <v>474</v>
      </c>
      <c r="E469" s="13" t="s">
        <v>483</v>
      </c>
      <c r="F469" s="72">
        <v>420315000000</v>
      </c>
      <c r="G469" s="13" t="s">
        <v>62</v>
      </c>
      <c r="H469" s="13"/>
      <c r="I469" s="13" t="s">
        <v>549</v>
      </c>
      <c r="J469" s="13" t="s">
        <v>550</v>
      </c>
      <c r="K469" s="13" t="s">
        <v>310</v>
      </c>
      <c r="L469" s="13"/>
      <c r="M469" s="72">
        <v>420315000000</v>
      </c>
      <c r="N469" s="13" t="s">
        <v>542</v>
      </c>
      <c r="O469" s="13">
        <v>3</v>
      </c>
      <c r="P469" s="13"/>
      <c r="Q469" s="73" t="s">
        <v>552</v>
      </c>
    </row>
    <row r="470" spans="1:17" x14ac:dyDescent="0.3">
      <c r="A470" s="13" t="s">
        <v>190</v>
      </c>
      <c r="B470" s="13" t="s">
        <v>61</v>
      </c>
      <c r="C470" s="13">
        <v>2021</v>
      </c>
      <c r="D470" s="13" t="s">
        <v>553</v>
      </c>
      <c r="E470" s="13" t="s">
        <v>554</v>
      </c>
      <c r="F470" s="72">
        <v>429000000000</v>
      </c>
      <c r="G470" s="13" t="s">
        <v>62</v>
      </c>
      <c r="H470" s="13"/>
      <c r="I470" s="13" t="s">
        <v>555</v>
      </c>
      <c r="J470" s="13" t="s">
        <v>556</v>
      </c>
      <c r="K470" s="13" t="s">
        <v>310</v>
      </c>
      <c r="L470" s="13"/>
      <c r="M470" s="72">
        <v>429000000000</v>
      </c>
      <c r="N470" s="13" t="s">
        <v>546</v>
      </c>
      <c r="O470" s="13">
        <v>3</v>
      </c>
      <c r="P470" s="13"/>
      <c r="Q470" s="73" t="s">
        <v>558</v>
      </c>
    </row>
    <row r="471" spans="1:17" x14ac:dyDescent="0.3">
      <c r="A471" s="13" t="s">
        <v>190</v>
      </c>
      <c r="B471" s="13" t="s">
        <v>61</v>
      </c>
      <c r="C471" s="13">
        <v>2022</v>
      </c>
      <c r="D471" s="13" t="s">
        <v>507</v>
      </c>
      <c r="E471" s="13" t="s">
        <v>508</v>
      </c>
      <c r="F471" s="72">
        <v>463721000000</v>
      </c>
      <c r="G471" s="13" t="s">
        <v>62</v>
      </c>
      <c r="H471" s="13"/>
      <c r="I471" s="13" t="s">
        <v>510</v>
      </c>
      <c r="J471" s="13" t="s">
        <v>511</v>
      </c>
      <c r="K471" s="13" t="s">
        <v>310</v>
      </c>
      <c r="L471" s="13"/>
      <c r="M471" s="72">
        <v>463721000000</v>
      </c>
      <c r="N471" s="13" t="s">
        <v>550</v>
      </c>
      <c r="O471" s="13">
        <v>3</v>
      </c>
      <c r="P471" s="13"/>
      <c r="Q471" s="73" t="s">
        <v>513</v>
      </c>
    </row>
    <row r="472" spans="1:17" x14ac:dyDescent="0.3">
      <c r="A472" s="13" t="s">
        <v>190</v>
      </c>
      <c r="B472" s="13" t="s">
        <v>61</v>
      </c>
      <c r="C472" s="13">
        <v>2023</v>
      </c>
      <c r="D472" s="13" t="s">
        <v>514</v>
      </c>
      <c r="E472" s="13" t="s">
        <v>515</v>
      </c>
      <c r="F472" s="72">
        <v>490142000000</v>
      </c>
      <c r="G472" s="13" t="s">
        <v>62</v>
      </c>
      <c r="H472" s="13"/>
      <c r="I472" s="13" t="s">
        <v>176</v>
      </c>
      <c r="J472" s="13" t="s">
        <v>177</v>
      </c>
      <c r="K472" s="13" t="s">
        <v>310</v>
      </c>
      <c r="L472" s="13"/>
      <c r="M472" s="72">
        <v>490142000000</v>
      </c>
      <c r="N472" s="13" t="s">
        <v>556</v>
      </c>
      <c r="O472" s="13">
        <v>3</v>
      </c>
      <c r="P472" s="13"/>
      <c r="Q472" s="73" t="s">
        <v>517</v>
      </c>
    </row>
    <row r="473" spans="1:17" x14ac:dyDescent="0.3">
      <c r="A473" s="13" t="s">
        <v>190</v>
      </c>
      <c r="B473" s="13" t="s">
        <v>61</v>
      </c>
      <c r="C473" s="13">
        <v>2024</v>
      </c>
      <c r="D473" s="13" t="s">
        <v>518</v>
      </c>
      <c r="E473" s="13" t="s">
        <v>519</v>
      </c>
      <c r="F473" s="72">
        <v>511753000000</v>
      </c>
      <c r="G473" s="13" t="s">
        <v>62</v>
      </c>
      <c r="H473" s="13"/>
      <c r="I473" s="13" t="s">
        <v>176</v>
      </c>
      <c r="J473" s="13" t="s">
        <v>177</v>
      </c>
      <c r="K473" s="13" t="s">
        <v>310</v>
      </c>
      <c r="L473" s="13"/>
      <c r="M473" s="72">
        <v>511753000000</v>
      </c>
      <c r="N473" s="13" t="s">
        <v>511</v>
      </c>
      <c r="O473" s="13">
        <v>2</v>
      </c>
      <c r="P473" s="13"/>
      <c r="Q473" s="73" t="s">
        <v>517</v>
      </c>
    </row>
    <row r="474" spans="1:17" x14ac:dyDescent="0.3">
      <c r="A474" s="13" t="s">
        <v>190</v>
      </c>
      <c r="B474" s="13" t="s">
        <v>61</v>
      </c>
      <c r="C474" s="13">
        <v>2025</v>
      </c>
      <c r="D474" s="13" t="s">
        <v>497</v>
      </c>
      <c r="E474" s="13" t="s">
        <v>499</v>
      </c>
      <c r="F474" s="72">
        <v>535395000000</v>
      </c>
      <c r="G474" s="13" t="s">
        <v>62</v>
      </c>
      <c r="H474" s="13"/>
      <c r="I474" s="13" t="s">
        <v>176</v>
      </c>
      <c r="J474" s="13" t="s">
        <v>177</v>
      </c>
      <c r="K474" s="13" t="s">
        <v>310</v>
      </c>
      <c r="L474" s="13"/>
      <c r="M474" s="72">
        <v>535395000000</v>
      </c>
      <c r="N474" s="13" t="s">
        <v>177</v>
      </c>
      <c r="O474" s="13">
        <v>1</v>
      </c>
      <c r="P474" s="13"/>
      <c r="Q474" s="73" t="s">
        <v>517</v>
      </c>
    </row>
    <row r="475" spans="1:17" x14ac:dyDescent="0.3">
      <c r="A475" s="13" t="s">
        <v>190</v>
      </c>
      <c r="B475" s="13" t="s">
        <v>66</v>
      </c>
      <c r="C475" s="13">
        <v>2015</v>
      </c>
      <c r="D475" s="13"/>
      <c r="E475" s="13" t="s">
        <v>456</v>
      </c>
      <c r="F475" s="72">
        <v>60239000000</v>
      </c>
      <c r="G475" s="13" t="s">
        <v>67</v>
      </c>
      <c r="H475" s="13"/>
      <c r="I475" s="13" t="s">
        <v>575</v>
      </c>
      <c r="J475" s="13" t="s">
        <v>530</v>
      </c>
      <c r="K475" s="13" t="s">
        <v>310</v>
      </c>
      <c r="L475" s="13"/>
      <c r="M475" s="72">
        <v>60239000000</v>
      </c>
      <c r="N475" s="13" t="s">
        <v>523</v>
      </c>
      <c r="O475" s="13">
        <v>2</v>
      </c>
      <c r="P475" s="13"/>
      <c r="Q475" s="73" t="s">
        <v>576</v>
      </c>
    </row>
    <row r="476" spans="1:17" x14ac:dyDescent="0.3">
      <c r="A476" s="13" t="s">
        <v>190</v>
      </c>
      <c r="B476" s="13" t="s">
        <v>66</v>
      </c>
      <c r="C476" s="13">
        <v>2016</v>
      </c>
      <c r="D476" s="13"/>
      <c r="E476" s="13" t="s">
        <v>527</v>
      </c>
      <c r="F476" s="72">
        <v>57689000000</v>
      </c>
      <c r="G476" s="13" t="s">
        <v>67</v>
      </c>
      <c r="H476" s="13"/>
      <c r="I476" s="13" t="s">
        <v>521</v>
      </c>
      <c r="J476" s="13" t="s">
        <v>522</v>
      </c>
      <c r="K476" s="13" t="s">
        <v>310</v>
      </c>
      <c r="L476" s="13"/>
      <c r="M476" s="72">
        <v>57689000000</v>
      </c>
      <c r="N476" s="13" t="s">
        <v>530</v>
      </c>
      <c r="O476" s="13">
        <v>2</v>
      </c>
      <c r="P476" s="13"/>
      <c r="Q476" s="73" t="s">
        <v>525</v>
      </c>
    </row>
    <row r="477" spans="1:17" x14ac:dyDescent="0.3">
      <c r="A477" s="13" t="s">
        <v>190</v>
      </c>
      <c r="B477" s="13" t="s">
        <v>66</v>
      </c>
      <c r="C477" s="13">
        <v>2017</v>
      </c>
      <c r="D477" s="13"/>
      <c r="E477" s="13" t="s">
        <v>534</v>
      </c>
      <c r="F477" s="72">
        <v>59664000000</v>
      </c>
      <c r="G477" s="13" t="s">
        <v>67</v>
      </c>
      <c r="H477" s="13"/>
      <c r="I477" s="13" t="s">
        <v>528</v>
      </c>
      <c r="J477" s="13" t="s">
        <v>529</v>
      </c>
      <c r="K477" s="13" t="s">
        <v>310</v>
      </c>
      <c r="L477" s="13"/>
      <c r="M477" s="72">
        <v>59664000000</v>
      </c>
      <c r="N477" s="13" t="s">
        <v>522</v>
      </c>
      <c r="O477" s="13">
        <v>2</v>
      </c>
      <c r="P477" s="13"/>
      <c r="Q477" s="73" t="s">
        <v>532</v>
      </c>
    </row>
    <row r="478" spans="1:17" x14ac:dyDescent="0.3">
      <c r="A478" s="13" t="s">
        <v>190</v>
      </c>
      <c r="B478" s="13" t="s">
        <v>66</v>
      </c>
      <c r="C478" s="13">
        <v>2018</v>
      </c>
      <c r="D478" s="13"/>
      <c r="E478" s="13" t="s">
        <v>540</v>
      </c>
      <c r="F478" s="72">
        <v>61897000000</v>
      </c>
      <c r="G478" s="13" t="s">
        <v>67</v>
      </c>
      <c r="H478" s="13"/>
      <c r="I478" s="13" t="s">
        <v>535</v>
      </c>
      <c r="J478" s="13" t="s">
        <v>536</v>
      </c>
      <c r="K478" s="13" t="s">
        <v>310</v>
      </c>
      <c r="L478" s="13"/>
      <c r="M478" s="72">
        <v>61897000000</v>
      </c>
      <c r="N478" s="13" t="s">
        <v>529</v>
      </c>
      <c r="O478" s="13">
        <v>2</v>
      </c>
      <c r="P478" s="13"/>
      <c r="Q478" s="73" t="s">
        <v>538</v>
      </c>
    </row>
    <row r="479" spans="1:17" x14ac:dyDescent="0.3">
      <c r="A479" s="13" t="s">
        <v>190</v>
      </c>
      <c r="B479" s="13" t="s">
        <v>66</v>
      </c>
      <c r="C479" s="13">
        <v>2019</v>
      </c>
      <c r="D479" s="13"/>
      <c r="E479" s="13" t="s">
        <v>316</v>
      </c>
      <c r="F479" s="72">
        <v>61806000000</v>
      </c>
      <c r="G479" s="13" t="s">
        <v>67</v>
      </c>
      <c r="H479" s="13"/>
      <c r="I479" s="13" t="s">
        <v>541</v>
      </c>
      <c r="J479" s="13" t="s">
        <v>542</v>
      </c>
      <c r="K479" s="13" t="s">
        <v>310</v>
      </c>
      <c r="L479" s="13"/>
      <c r="M479" s="72">
        <v>61806000000</v>
      </c>
      <c r="N479" s="13" t="s">
        <v>536</v>
      </c>
      <c r="O479" s="13">
        <v>2</v>
      </c>
      <c r="P479" s="13"/>
      <c r="Q479" s="73" t="s">
        <v>544</v>
      </c>
    </row>
    <row r="480" spans="1:17" x14ac:dyDescent="0.3">
      <c r="A480" s="13" t="s">
        <v>190</v>
      </c>
      <c r="B480" s="13" t="s">
        <v>66</v>
      </c>
      <c r="C480" s="13">
        <v>2020</v>
      </c>
      <c r="D480" s="13"/>
      <c r="E480" s="13" t="s">
        <v>483</v>
      </c>
      <c r="F480" s="72">
        <v>90067000000</v>
      </c>
      <c r="G480" s="13" t="s">
        <v>67</v>
      </c>
      <c r="H480" s="13"/>
      <c r="I480" s="13" t="s">
        <v>545</v>
      </c>
      <c r="J480" s="13" t="s">
        <v>546</v>
      </c>
      <c r="K480" s="13" t="s">
        <v>310</v>
      </c>
      <c r="L480" s="13"/>
      <c r="M480" s="72">
        <v>90067000000</v>
      </c>
      <c r="N480" s="13" t="s">
        <v>542</v>
      </c>
      <c r="O480" s="13">
        <v>2</v>
      </c>
      <c r="P480" s="13"/>
      <c r="Q480" s="73" t="s">
        <v>548</v>
      </c>
    </row>
    <row r="481" spans="1:17" x14ac:dyDescent="0.3">
      <c r="A481" s="13" t="s">
        <v>190</v>
      </c>
      <c r="B481" s="13" t="s">
        <v>66</v>
      </c>
      <c r="C481" s="13">
        <v>2021</v>
      </c>
      <c r="D481" s="13"/>
      <c r="E481" s="13" t="s">
        <v>554</v>
      </c>
      <c r="F481" s="72">
        <v>81070000000</v>
      </c>
      <c r="G481" s="13" t="s">
        <v>67</v>
      </c>
      <c r="H481" s="13"/>
      <c r="I481" s="13" t="s">
        <v>549</v>
      </c>
      <c r="J481" s="13" t="s">
        <v>550</v>
      </c>
      <c r="K481" s="13" t="s">
        <v>310</v>
      </c>
      <c r="L481" s="13"/>
      <c r="M481" s="72">
        <v>81070000000</v>
      </c>
      <c r="N481" s="13" t="s">
        <v>546</v>
      </c>
      <c r="O481" s="13">
        <v>2</v>
      </c>
      <c r="P481" s="13"/>
      <c r="Q481" s="73" t="s">
        <v>552</v>
      </c>
    </row>
    <row r="482" spans="1:17" x14ac:dyDescent="0.3">
      <c r="A482" s="13" t="s">
        <v>190</v>
      </c>
      <c r="B482" s="13" t="s">
        <v>66</v>
      </c>
      <c r="C482" s="13">
        <v>2022</v>
      </c>
      <c r="D482" s="13"/>
      <c r="E482" s="13" t="s">
        <v>508</v>
      </c>
      <c r="F482" s="72">
        <v>75655000000</v>
      </c>
      <c r="G482" s="13" t="s">
        <v>67</v>
      </c>
      <c r="H482" s="13"/>
      <c r="I482" s="13" t="s">
        <v>555</v>
      </c>
      <c r="J482" s="13" t="s">
        <v>556</v>
      </c>
      <c r="K482" s="13" t="s">
        <v>310</v>
      </c>
      <c r="L482" s="13"/>
      <c r="M482" s="72">
        <v>75655000000</v>
      </c>
      <c r="N482" s="13" t="s">
        <v>550</v>
      </c>
      <c r="O482" s="13">
        <v>2</v>
      </c>
      <c r="P482" s="13"/>
      <c r="Q482" s="73" t="s">
        <v>558</v>
      </c>
    </row>
    <row r="483" spans="1:17" x14ac:dyDescent="0.3">
      <c r="A483" s="13" t="s">
        <v>190</v>
      </c>
      <c r="B483" s="13" t="s">
        <v>66</v>
      </c>
      <c r="C483" s="13">
        <v>2023</v>
      </c>
      <c r="D483" s="13"/>
      <c r="E483" s="13" t="s">
        <v>515</v>
      </c>
      <c r="F483" s="72">
        <v>76877000000</v>
      </c>
      <c r="G483" s="13" t="s">
        <v>67</v>
      </c>
      <c r="H483" s="13"/>
      <c r="I483" s="13" t="s">
        <v>510</v>
      </c>
      <c r="J483" s="13" t="s">
        <v>511</v>
      </c>
      <c r="K483" s="13" t="s">
        <v>310</v>
      </c>
      <c r="L483" s="13"/>
      <c r="M483" s="72">
        <v>76877000000</v>
      </c>
      <c r="N483" s="13" t="s">
        <v>556</v>
      </c>
      <c r="O483" s="13">
        <v>2</v>
      </c>
      <c r="P483" s="13"/>
      <c r="Q483" s="73" t="s">
        <v>513</v>
      </c>
    </row>
    <row r="484" spans="1:17" x14ac:dyDescent="0.3">
      <c r="A484" s="13" t="s">
        <v>190</v>
      </c>
      <c r="B484" s="13" t="s">
        <v>66</v>
      </c>
      <c r="C484" s="13">
        <v>2024</v>
      </c>
      <c r="D484" s="13"/>
      <c r="E484" s="13" t="s">
        <v>519</v>
      </c>
      <c r="F484" s="72">
        <v>79458000000</v>
      </c>
      <c r="G484" s="13" t="s">
        <v>67</v>
      </c>
      <c r="H484" s="13"/>
      <c r="I484" s="13" t="s">
        <v>176</v>
      </c>
      <c r="J484" s="13" t="s">
        <v>177</v>
      </c>
      <c r="K484" s="13" t="s">
        <v>310</v>
      </c>
      <c r="L484" s="13"/>
      <c r="M484" s="72">
        <v>79458000000</v>
      </c>
      <c r="N484" s="13" t="s">
        <v>511</v>
      </c>
      <c r="O484" s="13">
        <v>2</v>
      </c>
      <c r="P484" s="13"/>
      <c r="Q484" s="73" t="s">
        <v>517</v>
      </c>
    </row>
    <row r="485" spans="1:17" x14ac:dyDescent="0.3">
      <c r="A485" s="13" t="s">
        <v>190</v>
      </c>
      <c r="B485" s="13" t="s">
        <v>66</v>
      </c>
      <c r="C485" s="13">
        <v>2025</v>
      </c>
      <c r="D485" s="13"/>
      <c r="E485" s="13" t="s">
        <v>499</v>
      </c>
      <c r="F485" s="72">
        <v>84874000000</v>
      </c>
      <c r="G485" s="13" t="s">
        <v>67</v>
      </c>
      <c r="H485" s="13"/>
      <c r="I485" s="13" t="s">
        <v>176</v>
      </c>
      <c r="J485" s="13" t="s">
        <v>177</v>
      </c>
      <c r="K485" s="13" t="s">
        <v>310</v>
      </c>
      <c r="L485" s="13"/>
      <c r="M485" s="72">
        <v>84874000000</v>
      </c>
      <c r="N485" s="13" t="s">
        <v>177</v>
      </c>
      <c r="O485" s="13">
        <v>1</v>
      </c>
      <c r="P485" s="13"/>
      <c r="Q485" s="73" t="s">
        <v>517</v>
      </c>
    </row>
    <row r="486" spans="1:17" x14ac:dyDescent="0.3">
      <c r="A486" s="13" t="s">
        <v>190</v>
      </c>
      <c r="B486" s="13" t="s">
        <v>68</v>
      </c>
      <c r="C486" s="13">
        <v>2015</v>
      </c>
      <c r="D486" s="13"/>
      <c r="E486" s="13" t="s">
        <v>456</v>
      </c>
      <c r="F486" s="72">
        <v>64619000000</v>
      </c>
      <c r="G486" s="13" t="s">
        <v>69</v>
      </c>
      <c r="H486" s="13"/>
      <c r="I486" s="13" t="s">
        <v>575</v>
      </c>
      <c r="J486" s="13" t="s">
        <v>530</v>
      </c>
      <c r="K486" s="13" t="s">
        <v>310</v>
      </c>
      <c r="L486" s="13"/>
      <c r="M486" s="72">
        <v>64619000000</v>
      </c>
      <c r="N486" s="13" t="s">
        <v>523</v>
      </c>
      <c r="O486" s="13">
        <v>2</v>
      </c>
      <c r="P486" s="13"/>
      <c r="Q486" s="73" t="s">
        <v>576</v>
      </c>
    </row>
    <row r="487" spans="1:17" x14ac:dyDescent="0.3">
      <c r="A487" s="13" t="s">
        <v>190</v>
      </c>
      <c r="B487" s="13" t="s">
        <v>68</v>
      </c>
      <c r="C487" s="13">
        <v>2016</v>
      </c>
      <c r="D487" s="13"/>
      <c r="E487" s="13" t="s">
        <v>527</v>
      </c>
      <c r="F487" s="72">
        <v>66928000000</v>
      </c>
      <c r="G487" s="13" t="s">
        <v>69</v>
      </c>
      <c r="H487" s="13"/>
      <c r="I487" s="13" t="s">
        <v>521</v>
      </c>
      <c r="J487" s="13" t="s">
        <v>522</v>
      </c>
      <c r="K487" s="13" t="s">
        <v>310</v>
      </c>
      <c r="L487" s="13"/>
      <c r="M487" s="72">
        <v>66928000000</v>
      </c>
      <c r="N487" s="13" t="s">
        <v>530</v>
      </c>
      <c r="O487" s="13">
        <v>2</v>
      </c>
      <c r="P487" s="13"/>
      <c r="Q487" s="73" t="s">
        <v>525</v>
      </c>
    </row>
    <row r="488" spans="1:17" x14ac:dyDescent="0.3">
      <c r="A488" s="13" t="s">
        <v>190</v>
      </c>
      <c r="B488" s="13" t="s">
        <v>68</v>
      </c>
      <c r="C488" s="13">
        <v>2017</v>
      </c>
      <c r="D488" s="13"/>
      <c r="E488" s="13" t="s">
        <v>534</v>
      </c>
      <c r="F488" s="72">
        <v>78521000000</v>
      </c>
      <c r="G488" s="13" t="s">
        <v>69</v>
      </c>
      <c r="H488" s="13"/>
      <c r="I488" s="13" t="s">
        <v>528</v>
      </c>
      <c r="J488" s="13" t="s">
        <v>529</v>
      </c>
      <c r="K488" s="13" t="s">
        <v>310</v>
      </c>
      <c r="L488" s="13"/>
      <c r="M488" s="72">
        <v>78521000000</v>
      </c>
      <c r="N488" s="13" t="s">
        <v>522</v>
      </c>
      <c r="O488" s="13">
        <v>2</v>
      </c>
      <c r="P488" s="13"/>
      <c r="Q488" s="73" t="s">
        <v>532</v>
      </c>
    </row>
    <row r="489" spans="1:17" x14ac:dyDescent="0.3">
      <c r="A489" s="13" t="s">
        <v>190</v>
      </c>
      <c r="B489" s="13" t="s">
        <v>68</v>
      </c>
      <c r="C489" s="13">
        <v>2018</v>
      </c>
      <c r="D489" s="13"/>
      <c r="E489" s="13" t="s">
        <v>540</v>
      </c>
      <c r="F489" s="72">
        <v>77477000000</v>
      </c>
      <c r="G489" s="13" t="s">
        <v>69</v>
      </c>
      <c r="H489" s="13"/>
      <c r="I489" s="13" t="s">
        <v>535</v>
      </c>
      <c r="J489" s="13" t="s">
        <v>536</v>
      </c>
      <c r="K489" s="13" t="s">
        <v>310</v>
      </c>
      <c r="L489" s="13"/>
      <c r="M489" s="72">
        <v>77477000000</v>
      </c>
      <c r="N489" s="13" t="s">
        <v>529</v>
      </c>
      <c r="O489" s="13">
        <v>2</v>
      </c>
      <c r="P489" s="13"/>
      <c r="Q489" s="73" t="s">
        <v>538</v>
      </c>
    </row>
    <row r="490" spans="1:17" x14ac:dyDescent="0.3">
      <c r="A490" s="13" t="s">
        <v>190</v>
      </c>
      <c r="B490" s="13" t="s">
        <v>68</v>
      </c>
      <c r="C490" s="13">
        <v>2019</v>
      </c>
      <c r="D490" s="13"/>
      <c r="E490" s="13" t="s">
        <v>316</v>
      </c>
      <c r="F490" s="72">
        <v>77790000000</v>
      </c>
      <c r="G490" s="13" t="s">
        <v>69</v>
      </c>
      <c r="H490" s="13"/>
      <c r="I490" s="13" t="s">
        <v>541</v>
      </c>
      <c r="J490" s="13" t="s">
        <v>542</v>
      </c>
      <c r="K490" s="13" t="s">
        <v>310</v>
      </c>
      <c r="L490" s="13"/>
      <c r="M490" s="72">
        <v>77790000000</v>
      </c>
      <c r="N490" s="13" t="s">
        <v>536</v>
      </c>
      <c r="O490" s="13">
        <v>2</v>
      </c>
      <c r="P490" s="13"/>
      <c r="Q490" s="73" t="s">
        <v>544</v>
      </c>
    </row>
    <row r="491" spans="1:17" x14ac:dyDescent="0.3">
      <c r="A491" s="13" t="s">
        <v>190</v>
      </c>
      <c r="B491" s="13" t="s">
        <v>68</v>
      </c>
      <c r="C491" s="13">
        <v>2020</v>
      </c>
      <c r="D491" s="13"/>
      <c r="E491" s="13" t="s">
        <v>483</v>
      </c>
      <c r="F491" s="72">
        <v>92645000000</v>
      </c>
      <c r="G491" s="13" t="s">
        <v>69</v>
      </c>
      <c r="H491" s="13"/>
      <c r="I491" s="13" t="s">
        <v>545</v>
      </c>
      <c r="J491" s="13" t="s">
        <v>546</v>
      </c>
      <c r="K491" s="13" t="s">
        <v>310</v>
      </c>
      <c r="L491" s="13"/>
      <c r="M491" s="72">
        <v>92645000000</v>
      </c>
      <c r="N491" s="13" t="s">
        <v>542</v>
      </c>
      <c r="O491" s="13">
        <v>2</v>
      </c>
      <c r="P491" s="13"/>
      <c r="Q491" s="73" t="s">
        <v>548</v>
      </c>
    </row>
    <row r="492" spans="1:17" x14ac:dyDescent="0.3">
      <c r="A492" s="13" t="s">
        <v>190</v>
      </c>
      <c r="B492" s="13" t="s">
        <v>68</v>
      </c>
      <c r="C492" s="13">
        <v>2021</v>
      </c>
      <c r="D492" s="13"/>
      <c r="E492" s="13" t="s">
        <v>554</v>
      </c>
      <c r="F492" s="72">
        <v>87379000000</v>
      </c>
      <c r="G492" s="13" t="s">
        <v>69</v>
      </c>
      <c r="H492" s="13"/>
      <c r="I492" s="13" t="s">
        <v>549</v>
      </c>
      <c r="J492" s="13" t="s">
        <v>550</v>
      </c>
      <c r="K492" s="13" t="s">
        <v>310</v>
      </c>
      <c r="L492" s="13"/>
      <c r="M492" s="72">
        <v>87379000000</v>
      </c>
      <c r="N492" s="13" t="s">
        <v>546</v>
      </c>
      <c r="O492" s="13">
        <v>2</v>
      </c>
      <c r="P492" s="13"/>
      <c r="Q492" s="73" t="s">
        <v>552</v>
      </c>
    </row>
    <row r="493" spans="1:17" x14ac:dyDescent="0.3">
      <c r="A493" s="13" t="s">
        <v>190</v>
      </c>
      <c r="B493" s="13" t="s">
        <v>68</v>
      </c>
      <c r="C493" s="13">
        <v>2022</v>
      </c>
      <c r="D493" s="13"/>
      <c r="E493" s="13" t="s">
        <v>508</v>
      </c>
      <c r="F493" s="72">
        <v>92198000000</v>
      </c>
      <c r="G493" s="13" t="s">
        <v>69</v>
      </c>
      <c r="H493" s="13"/>
      <c r="I493" s="13" t="s">
        <v>555</v>
      </c>
      <c r="J493" s="13" t="s">
        <v>556</v>
      </c>
      <c r="K493" s="13" t="s">
        <v>310</v>
      </c>
      <c r="L493" s="13"/>
      <c r="M493" s="72">
        <v>92198000000</v>
      </c>
      <c r="N493" s="13" t="s">
        <v>550</v>
      </c>
      <c r="O493" s="13">
        <v>2</v>
      </c>
      <c r="P493" s="13"/>
      <c r="Q493" s="73" t="s">
        <v>558</v>
      </c>
    </row>
    <row r="494" spans="1:17" x14ac:dyDescent="0.3">
      <c r="A494" s="13" t="s">
        <v>190</v>
      </c>
      <c r="B494" s="13" t="s">
        <v>68</v>
      </c>
      <c r="C494" s="13">
        <v>2023</v>
      </c>
      <c r="D494" s="13"/>
      <c r="E494" s="13" t="s">
        <v>515</v>
      </c>
      <c r="F494" s="72">
        <v>92415000000</v>
      </c>
      <c r="G494" s="13" t="s">
        <v>69</v>
      </c>
      <c r="H494" s="13"/>
      <c r="I494" s="13" t="s">
        <v>510</v>
      </c>
      <c r="J494" s="13" t="s">
        <v>511</v>
      </c>
      <c r="K494" s="13" t="s">
        <v>310</v>
      </c>
      <c r="L494" s="13"/>
      <c r="M494" s="72">
        <v>92415000000</v>
      </c>
      <c r="N494" s="13" t="s">
        <v>556</v>
      </c>
      <c r="O494" s="13">
        <v>2</v>
      </c>
      <c r="P494" s="13"/>
      <c r="Q494" s="73" t="s">
        <v>513</v>
      </c>
    </row>
    <row r="495" spans="1:17" x14ac:dyDescent="0.3">
      <c r="A495" s="13" t="s">
        <v>190</v>
      </c>
      <c r="B495" s="13" t="s">
        <v>68</v>
      </c>
      <c r="C495" s="13">
        <v>2024</v>
      </c>
      <c r="D495" s="13"/>
      <c r="E495" s="13" t="s">
        <v>519</v>
      </c>
      <c r="F495" s="72">
        <v>96584000000</v>
      </c>
      <c r="G495" s="13" t="s">
        <v>69</v>
      </c>
      <c r="H495" s="13"/>
      <c r="I495" s="13" t="s">
        <v>176</v>
      </c>
      <c r="J495" s="13" t="s">
        <v>177</v>
      </c>
      <c r="K495" s="13" t="s">
        <v>310</v>
      </c>
      <c r="L495" s="13"/>
      <c r="M495" s="72">
        <v>96584000000</v>
      </c>
      <c r="N495" s="13" t="s">
        <v>511</v>
      </c>
      <c r="O495" s="13">
        <v>2</v>
      </c>
      <c r="P495" s="13"/>
      <c r="Q495" s="73" t="s">
        <v>517</v>
      </c>
    </row>
    <row r="496" spans="1:17" x14ac:dyDescent="0.3">
      <c r="A496" s="13" t="s">
        <v>190</v>
      </c>
      <c r="B496" s="13" t="s">
        <v>68</v>
      </c>
      <c r="C496" s="13">
        <v>2025</v>
      </c>
      <c r="D496" s="13"/>
      <c r="E496" s="13" t="s">
        <v>499</v>
      </c>
      <c r="F496" s="72">
        <v>107469000000</v>
      </c>
      <c r="G496" s="13" t="s">
        <v>69</v>
      </c>
      <c r="H496" s="13"/>
      <c r="I496" s="13" t="s">
        <v>176</v>
      </c>
      <c r="J496" s="13" t="s">
        <v>177</v>
      </c>
      <c r="K496" s="13" t="s">
        <v>310</v>
      </c>
      <c r="L496" s="13"/>
      <c r="M496" s="72">
        <v>107469000000</v>
      </c>
      <c r="N496" s="13" t="s">
        <v>177</v>
      </c>
      <c r="O496" s="13">
        <v>1</v>
      </c>
      <c r="P496" s="13"/>
      <c r="Q496" s="73" t="s">
        <v>517</v>
      </c>
    </row>
    <row r="497" spans="1:17" x14ac:dyDescent="0.3">
      <c r="A497" s="13" t="s">
        <v>190</v>
      </c>
      <c r="B497" s="13" t="s">
        <v>410</v>
      </c>
      <c r="C497" s="13">
        <v>2015</v>
      </c>
      <c r="D497" s="13"/>
      <c r="E497" s="13" t="s">
        <v>456</v>
      </c>
      <c r="F497" s="72">
        <v>80546000000</v>
      </c>
      <c r="G497" s="13" t="s">
        <v>148</v>
      </c>
      <c r="H497" s="13"/>
      <c r="I497" s="13" t="s">
        <v>575</v>
      </c>
      <c r="J497" s="13" t="s">
        <v>530</v>
      </c>
      <c r="K497" s="13" t="s">
        <v>310</v>
      </c>
      <c r="L497" s="13"/>
      <c r="M497" s="72">
        <v>80546000000</v>
      </c>
      <c r="N497" s="13" t="s">
        <v>523</v>
      </c>
      <c r="O497" s="13">
        <v>2</v>
      </c>
      <c r="P497" s="13"/>
      <c r="Q497" s="73" t="s">
        <v>576</v>
      </c>
    </row>
    <row r="498" spans="1:17" x14ac:dyDescent="0.3">
      <c r="A498" s="13" t="s">
        <v>190</v>
      </c>
      <c r="B498" s="13" t="s">
        <v>410</v>
      </c>
      <c r="C498" s="13">
        <v>2016</v>
      </c>
      <c r="D498" s="13"/>
      <c r="E498" s="13" t="s">
        <v>527</v>
      </c>
      <c r="F498" s="72">
        <v>77798000000</v>
      </c>
      <c r="G498" s="13" t="s">
        <v>148</v>
      </c>
      <c r="H498" s="13"/>
      <c r="I498" s="13" t="s">
        <v>521</v>
      </c>
      <c r="J498" s="13" t="s">
        <v>522</v>
      </c>
      <c r="K498" s="13" t="s">
        <v>310</v>
      </c>
      <c r="L498" s="13"/>
      <c r="M498" s="72">
        <v>77798000000</v>
      </c>
      <c r="N498" s="13" t="s">
        <v>530</v>
      </c>
      <c r="O498" s="13">
        <v>2</v>
      </c>
      <c r="P498" s="13"/>
      <c r="Q498" s="73" t="s">
        <v>525</v>
      </c>
    </row>
    <row r="499" spans="1:17" x14ac:dyDescent="0.3">
      <c r="A499" s="13" t="s">
        <v>190</v>
      </c>
      <c r="B499" s="13" t="s">
        <v>410</v>
      </c>
      <c r="C499" s="13">
        <v>2017</v>
      </c>
      <c r="D499" s="13"/>
      <c r="E499" s="13" t="s">
        <v>534</v>
      </c>
      <c r="F499" s="72">
        <v>77869000000</v>
      </c>
      <c r="G499" s="13" t="s">
        <v>148</v>
      </c>
      <c r="H499" s="13"/>
      <c r="I499" s="13" t="s">
        <v>528</v>
      </c>
      <c r="J499" s="13" t="s">
        <v>529</v>
      </c>
      <c r="K499" s="13" t="s">
        <v>310</v>
      </c>
      <c r="L499" s="13"/>
      <c r="M499" s="72">
        <v>77869000000</v>
      </c>
      <c r="N499" s="13" t="s">
        <v>522</v>
      </c>
      <c r="O499" s="13">
        <v>2</v>
      </c>
      <c r="P499" s="13"/>
      <c r="Q499" s="73" t="s">
        <v>532</v>
      </c>
    </row>
    <row r="500" spans="1:17" x14ac:dyDescent="0.3">
      <c r="A500" s="13" t="s">
        <v>190</v>
      </c>
      <c r="B500" s="13" t="s">
        <v>410</v>
      </c>
      <c r="C500" s="13">
        <v>2018</v>
      </c>
      <c r="D500" s="13"/>
      <c r="E500" s="13" t="s">
        <v>540</v>
      </c>
      <c r="F500" s="72">
        <v>72496000000</v>
      </c>
      <c r="G500" s="13" t="s">
        <v>148</v>
      </c>
      <c r="H500" s="13"/>
      <c r="I500" s="13" t="s">
        <v>535</v>
      </c>
      <c r="J500" s="13" t="s">
        <v>536</v>
      </c>
      <c r="K500" s="13" t="s">
        <v>310</v>
      </c>
      <c r="L500" s="13"/>
      <c r="M500" s="72">
        <v>72496000000</v>
      </c>
      <c r="N500" s="13" t="s">
        <v>529</v>
      </c>
      <c r="O500" s="13">
        <v>2</v>
      </c>
      <c r="P500" s="13"/>
      <c r="Q500" s="73" t="s">
        <v>538</v>
      </c>
    </row>
    <row r="501" spans="1:17" x14ac:dyDescent="0.3">
      <c r="A501" s="13" t="s">
        <v>190</v>
      </c>
      <c r="B501" s="13" t="s">
        <v>410</v>
      </c>
      <c r="C501" s="13">
        <v>2019</v>
      </c>
      <c r="D501" s="13"/>
      <c r="E501" s="13" t="s">
        <v>316</v>
      </c>
      <c r="F501" s="72">
        <v>74669000000</v>
      </c>
      <c r="G501" s="13" t="s">
        <v>148</v>
      </c>
      <c r="H501" s="13"/>
      <c r="I501" s="13" t="s">
        <v>541</v>
      </c>
      <c r="J501" s="13" t="s">
        <v>542</v>
      </c>
      <c r="K501" s="13" t="s">
        <v>310</v>
      </c>
      <c r="L501" s="13"/>
      <c r="M501" s="72">
        <v>74669000000</v>
      </c>
      <c r="N501" s="13" t="s">
        <v>536</v>
      </c>
      <c r="O501" s="13">
        <v>2</v>
      </c>
      <c r="P501" s="13"/>
      <c r="Q501" s="73" t="s">
        <v>544</v>
      </c>
    </row>
    <row r="502" spans="1:17" x14ac:dyDescent="0.3">
      <c r="A502" s="13" t="s">
        <v>190</v>
      </c>
      <c r="B502" s="13" t="s">
        <v>410</v>
      </c>
      <c r="C502" s="13">
        <v>2020</v>
      </c>
      <c r="D502" s="13"/>
      <c r="E502" s="13" t="s">
        <v>483</v>
      </c>
      <c r="F502" s="72">
        <v>80925000000</v>
      </c>
      <c r="G502" s="13" t="s">
        <v>148</v>
      </c>
      <c r="H502" s="13"/>
      <c r="I502" s="13" t="s">
        <v>545</v>
      </c>
      <c r="J502" s="13" t="s">
        <v>546</v>
      </c>
      <c r="K502" s="13" t="s">
        <v>310</v>
      </c>
      <c r="L502" s="13"/>
      <c r="M502" s="72">
        <v>80925000000</v>
      </c>
      <c r="N502" s="13" t="s">
        <v>542</v>
      </c>
      <c r="O502" s="13">
        <v>2</v>
      </c>
      <c r="P502" s="13"/>
      <c r="Q502" s="73" t="s">
        <v>548</v>
      </c>
    </row>
    <row r="503" spans="1:17" x14ac:dyDescent="0.3">
      <c r="A503" s="13" t="s">
        <v>190</v>
      </c>
      <c r="B503" s="13" t="s">
        <v>410</v>
      </c>
      <c r="C503" s="13">
        <v>2021</v>
      </c>
      <c r="D503" s="13"/>
      <c r="E503" s="13" t="s">
        <v>554</v>
      </c>
      <c r="F503" s="72">
        <v>83253000000</v>
      </c>
      <c r="G503" s="13" t="s">
        <v>148</v>
      </c>
      <c r="H503" s="13"/>
      <c r="I503" s="13" t="s">
        <v>549</v>
      </c>
      <c r="J503" s="13" t="s">
        <v>550</v>
      </c>
      <c r="K503" s="13" t="s">
        <v>310</v>
      </c>
      <c r="L503" s="13"/>
      <c r="M503" s="72">
        <v>83253000000</v>
      </c>
      <c r="N503" s="13" t="s">
        <v>546</v>
      </c>
      <c r="O503" s="13">
        <v>2</v>
      </c>
      <c r="P503" s="13"/>
      <c r="Q503" s="73" t="s">
        <v>552</v>
      </c>
    </row>
    <row r="504" spans="1:17" x14ac:dyDescent="0.3">
      <c r="A504" s="13" t="s">
        <v>190</v>
      </c>
      <c r="B504" s="13" t="s">
        <v>410</v>
      </c>
      <c r="C504" s="13">
        <v>2022</v>
      </c>
      <c r="D504" s="13"/>
      <c r="E504" s="13" t="s">
        <v>508</v>
      </c>
      <c r="F504" s="72">
        <v>76693000000</v>
      </c>
      <c r="G504" s="13" t="s">
        <v>148</v>
      </c>
      <c r="H504" s="13"/>
      <c r="I504" s="13" t="s">
        <v>555</v>
      </c>
      <c r="J504" s="13" t="s">
        <v>556</v>
      </c>
      <c r="K504" s="13" t="s">
        <v>310</v>
      </c>
      <c r="L504" s="13"/>
      <c r="M504" s="72">
        <v>76693000000</v>
      </c>
      <c r="N504" s="13" t="s">
        <v>550</v>
      </c>
      <c r="O504" s="13">
        <v>2</v>
      </c>
      <c r="P504" s="13"/>
      <c r="Q504" s="73" t="s">
        <v>558</v>
      </c>
    </row>
    <row r="505" spans="1:17" x14ac:dyDescent="0.3">
      <c r="A505" s="13" t="s">
        <v>190</v>
      </c>
      <c r="B505" s="13" t="s">
        <v>410</v>
      </c>
      <c r="C505" s="13">
        <v>2023</v>
      </c>
      <c r="D505" s="13"/>
      <c r="E505" s="13" t="s">
        <v>515</v>
      </c>
      <c r="F505" s="72">
        <v>83861000000</v>
      </c>
      <c r="G505" s="13" t="s">
        <v>148</v>
      </c>
      <c r="H505" s="13"/>
      <c r="I505" s="13" t="s">
        <v>510</v>
      </c>
      <c r="J505" s="13" t="s">
        <v>511</v>
      </c>
      <c r="K505" s="13" t="s">
        <v>310</v>
      </c>
      <c r="L505" s="13"/>
      <c r="M505" s="72">
        <v>83861000000</v>
      </c>
      <c r="N505" s="13" t="s">
        <v>556</v>
      </c>
      <c r="O505" s="13">
        <v>2</v>
      </c>
      <c r="P505" s="13"/>
      <c r="Q505" s="73" t="s">
        <v>513</v>
      </c>
    </row>
    <row r="506" spans="1:17" x14ac:dyDescent="0.3">
      <c r="A506" s="13" t="s">
        <v>190</v>
      </c>
      <c r="B506" s="13" t="s">
        <v>410</v>
      </c>
      <c r="C506" s="13">
        <v>2024</v>
      </c>
      <c r="D506" s="13"/>
      <c r="E506" s="13" t="s">
        <v>519</v>
      </c>
      <c r="F506" s="72">
        <v>91013000000</v>
      </c>
      <c r="G506" s="13" t="s">
        <v>148</v>
      </c>
      <c r="H506" s="13"/>
      <c r="I506" s="13" t="s">
        <v>176</v>
      </c>
      <c r="J506" s="13" t="s">
        <v>177</v>
      </c>
      <c r="K506" s="13" t="s">
        <v>310</v>
      </c>
      <c r="L506" s="13"/>
      <c r="M506" s="72">
        <v>91013000000</v>
      </c>
      <c r="N506" s="13" t="s">
        <v>511</v>
      </c>
      <c r="O506" s="13">
        <v>2</v>
      </c>
      <c r="P506" s="13"/>
      <c r="Q506" s="73" t="s">
        <v>517</v>
      </c>
    </row>
    <row r="507" spans="1:17" x14ac:dyDescent="0.3">
      <c r="A507" s="13" t="s">
        <v>190</v>
      </c>
      <c r="B507" s="13" t="s">
        <v>410</v>
      </c>
      <c r="C507" s="13">
        <v>2025</v>
      </c>
      <c r="D507" s="13"/>
      <c r="E507" s="13" t="s">
        <v>499</v>
      </c>
      <c r="F507" s="72">
        <v>99617000000</v>
      </c>
      <c r="G507" s="13" t="s">
        <v>148</v>
      </c>
      <c r="H507" s="13"/>
      <c r="I507" s="13" t="s">
        <v>176</v>
      </c>
      <c r="J507" s="13" t="s">
        <v>177</v>
      </c>
      <c r="K507" s="13" t="s">
        <v>310</v>
      </c>
      <c r="L507" s="13"/>
      <c r="M507" s="72">
        <v>99617000000</v>
      </c>
      <c r="N507" s="13" t="s">
        <v>177</v>
      </c>
      <c r="O507" s="13">
        <v>1</v>
      </c>
      <c r="P507" s="13"/>
      <c r="Q507" s="73" t="s">
        <v>517</v>
      </c>
    </row>
    <row r="508" spans="1:17" x14ac:dyDescent="0.3">
      <c r="A508" s="13" t="s">
        <v>190</v>
      </c>
      <c r="B508" s="13" t="s">
        <v>411</v>
      </c>
      <c r="C508" s="13">
        <v>2015</v>
      </c>
      <c r="D508" s="13"/>
      <c r="E508" s="13" t="s">
        <v>456</v>
      </c>
      <c r="F508" s="72">
        <v>551000000</v>
      </c>
      <c r="G508" s="13" t="s">
        <v>150</v>
      </c>
      <c r="H508" s="13"/>
      <c r="I508" s="13" t="s">
        <v>575</v>
      </c>
      <c r="J508" s="13" t="s">
        <v>530</v>
      </c>
      <c r="K508" s="13" t="s">
        <v>310</v>
      </c>
      <c r="L508" s="13"/>
      <c r="M508" s="72">
        <v>551000000</v>
      </c>
      <c r="N508" s="13" t="s">
        <v>523</v>
      </c>
      <c r="O508" s="13">
        <v>2</v>
      </c>
      <c r="P508" s="13"/>
      <c r="Q508" s="73" t="s">
        <v>576</v>
      </c>
    </row>
    <row r="509" spans="1:17" x14ac:dyDescent="0.3">
      <c r="A509" s="13" t="s">
        <v>190</v>
      </c>
      <c r="B509" s="13" t="s">
        <v>411</v>
      </c>
      <c r="C509" s="13">
        <v>2016</v>
      </c>
      <c r="D509" s="13"/>
      <c r="E509" s="13" t="s">
        <v>527</v>
      </c>
      <c r="F509" s="72">
        <v>565000000</v>
      </c>
      <c r="G509" s="13" t="s">
        <v>150</v>
      </c>
      <c r="H509" s="13"/>
      <c r="I509" s="13" t="s">
        <v>521</v>
      </c>
      <c r="J509" s="13" t="s">
        <v>522</v>
      </c>
      <c r="K509" s="13" t="s">
        <v>310</v>
      </c>
      <c r="L509" s="13"/>
      <c r="M509" s="72">
        <v>565000000</v>
      </c>
      <c r="N509" s="13" t="s">
        <v>530</v>
      </c>
      <c r="O509" s="13">
        <v>2</v>
      </c>
      <c r="P509" s="13"/>
      <c r="Q509" s="73" t="s">
        <v>525</v>
      </c>
    </row>
    <row r="510" spans="1:17" x14ac:dyDescent="0.3">
      <c r="A510" s="13" t="s">
        <v>190</v>
      </c>
      <c r="B510" s="13" t="s">
        <v>411</v>
      </c>
      <c r="C510" s="13">
        <v>2017</v>
      </c>
      <c r="D510" s="13"/>
      <c r="E510" s="13" t="s">
        <v>534</v>
      </c>
      <c r="F510" s="72">
        <v>667000000</v>
      </c>
      <c r="G510" s="13" t="s">
        <v>150</v>
      </c>
      <c r="H510" s="13"/>
      <c r="I510" s="13" t="s">
        <v>528</v>
      </c>
      <c r="J510" s="13" t="s">
        <v>529</v>
      </c>
      <c r="K510" s="13" t="s">
        <v>310</v>
      </c>
      <c r="L510" s="13"/>
      <c r="M510" s="72">
        <v>667000000</v>
      </c>
      <c r="N510" s="13" t="s">
        <v>522</v>
      </c>
      <c r="O510" s="13">
        <v>2</v>
      </c>
      <c r="P510" s="13"/>
      <c r="Q510" s="73" t="s">
        <v>532</v>
      </c>
    </row>
    <row r="511" spans="1:17" x14ac:dyDescent="0.3">
      <c r="A511" s="13" t="s">
        <v>190</v>
      </c>
      <c r="B511" s="13" t="s">
        <v>411</v>
      </c>
      <c r="C511" s="13">
        <v>2018</v>
      </c>
      <c r="D511" s="13"/>
      <c r="E511" s="13" t="s">
        <v>540</v>
      </c>
      <c r="F511" s="72">
        <v>729000000</v>
      </c>
      <c r="G511" s="13" t="s">
        <v>150</v>
      </c>
      <c r="H511" s="13"/>
      <c r="I511" s="13" t="s">
        <v>535</v>
      </c>
      <c r="J511" s="13" t="s">
        <v>536</v>
      </c>
      <c r="K511" s="13" t="s">
        <v>310</v>
      </c>
      <c r="L511" s="13"/>
      <c r="M511" s="72">
        <v>729000000</v>
      </c>
      <c r="N511" s="13" t="s">
        <v>529</v>
      </c>
      <c r="O511" s="13">
        <v>2</v>
      </c>
      <c r="P511" s="13"/>
      <c r="Q511" s="73" t="s">
        <v>538</v>
      </c>
    </row>
    <row r="512" spans="1:17" x14ac:dyDescent="0.3">
      <c r="A512" s="13" t="s">
        <v>190</v>
      </c>
      <c r="B512" s="13" t="s">
        <v>411</v>
      </c>
      <c r="C512" s="13">
        <v>2019</v>
      </c>
      <c r="D512" s="13"/>
      <c r="E512" s="13" t="s">
        <v>316</v>
      </c>
      <c r="F512" s="72">
        <v>511000000</v>
      </c>
      <c r="G512" s="13" t="s">
        <v>122</v>
      </c>
      <c r="H512" s="13"/>
      <c r="I512" s="13" t="s">
        <v>541</v>
      </c>
      <c r="J512" s="13" t="s">
        <v>542</v>
      </c>
      <c r="K512" s="13" t="s">
        <v>310</v>
      </c>
      <c r="L512" s="13"/>
      <c r="M512" s="72">
        <v>511000000</v>
      </c>
      <c r="N512" s="13" t="s">
        <v>536</v>
      </c>
      <c r="O512" s="13">
        <v>2</v>
      </c>
      <c r="P512" s="13"/>
      <c r="Q512" s="73" t="s">
        <v>544</v>
      </c>
    </row>
    <row r="513" spans="1:17" x14ac:dyDescent="0.3">
      <c r="A513" s="13" t="s">
        <v>190</v>
      </c>
      <c r="B513" s="13" t="s">
        <v>411</v>
      </c>
      <c r="C513" s="13">
        <v>2020</v>
      </c>
      <c r="D513" s="13"/>
      <c r="E513" s="13" t="s">
        <v>483</v>
      </c>
      <c r="F513" s="72">
        <v>491000000</v>
      </c>
      <c r="G513" s="13" t="s">
        <v>122</v>
      </c>
      <c r="H513" s="13"/>
      <c r="I513" s="13" t="s">
        <v>545</v>
      </c>
      <c r="J513" s="13" t="s">
        <v>546</v>
      </c>
      <c r="K513" s="13" t="s">
        <v>310</v>
      </c>
      <c r="L513" s="13"/>
      <c r="M513" s="72">
        <v>491000000</v>
      </c>
      <c r="N513" s="13" t="s">
        <v>542</v>
      </c>
      <c r="O513" s="13">
        <v>2</v>
      </c>
      <c r="P513" s="13"/>
      <c r="Q513" s="73" t="s">
        <v>548</v>
      </c>
    </row>
    <row r="514" spans="1:17" x14ac:dyDescent="0.3">
      <c r="A514" s="13" t="s">
        <v>190</v>
      </c>
      <c r="B514" s="13" t="s">
        <v>411</v>
      </c>
      <c r="C514" s="13">
        <v>2021</v>
      </c>
      <c r="D514" s="13"/>
      <c r="E514" s="13" t="s">
        <v>554</v>
      </c>
      <c r="F514" s="72">
        <v>511000000</v>
      </c>
      <c r="G514" s="13" t="s">
        <v>122</v>
      </c>
      <c r="H514" s="13"/>
      <c r="I514" s="13" t="s">
        <v>549</v>
      </c>
      <c r="J514" s="13" t="s">
        <v>550</v>
      </c>
      <c r="K514" s="13" t="s">
        <v>310</v>
      </c>
      <c r="L514" s="13"/>
      <c r="M514" s="72">
        <v>511000000</v>
      </c>
      <c r="N514" s="13" t="s">
        <v>546</v>
      </c>
      <c r="O514" s="13">
        <v>2</v>
      </c>
      <c r="P514" s="13"/>
      <c r="Q514" s="73" t="s">
        <v>552</v>
      </c>
    </row>
    <row r="515" spans="1:17" x14ac:dyDescent="0.3">
      <c r="A515" s="13" t="s">
        <v>190</v>
      </c>
      <c r="B515" s="13" t="s">
        <v>411</v>
      </c>
      <c r="C515" s="13">
        <v>2022</v>
      </c>
      <c r="D515" s="13"/>
      <c r="E515" s="13" t="s">
        <v>508</v>
      </c>
      <c r="F515" s="72">
        <v>567000000</v>
      </c>
      <c r="G515" s="13" t="s">
        <v>122</v>
      </c>
      <c r="H515" s="13"/>
      <c r="I515" s="13" t="s">
        <v>555</v>
      </c>
      <c r="J515" s="13" t="s">
        <v>556</v>
      </c>
      <c r="K515" s="13" t="s">
        <v>310</v>
      </c>
      <c r="L515" s="13"/>
      <c r="M515" s="72">
        <v>567000000</v>
      </c>
      <c r="N515" s="13" t="s">
        <v>550</v>
      </c>
      <c r="O515" s="13">
        <v>2</v>
      </c>
      <c r="P515" s="13"/>
      <c r="Q515" s="73" t="s">
        <v>558</v>
      </c>
    </row>
    <row r="516" spans="1:17" x14ac:dyDescent="0.3">
      <c r="A516" s="13" t="s">
        <v>190</v>
      </c>
      <c r="B516" s="13" t="s">
        <v>411</v>
      </c>
      <c r="C516" s="13">
        <v>2023</v>
      </c>
      <c r="D516" s="13"/>
      <c r="E516" s="13" t="s">
        <v>515</v>
      </c>
      <c r="F516" s="72">
        <v>725000000</v>
      </c>
      <c r="G516" s="13" t="s">
        <v>122</v>
      </c>
      <c r="H516" s="13"/>
      <c r="I516" s="13" t="s">
        <v>510</v>
      </c>
      <c r="J516" s="13" t="s">
        <v>511</v>
      </c>
      <c r="K516" s="13" t="s">
        <v>310</v>
      </c>
      <c r="L516" s="13"/>
      <c r="M516" s="72">
        <v>725000000</v>
      </c>
      <c r="N516" s="13" t="s">
        <v>556</v>
      </c>
      <c r="O516" s="13">
        <v>2</v>
      </c>
      <c r="P516" s="13"/>
      <c r="Q516" s="73" t="s">
        <v>513</v>
      </c>
    </row>
    <row r="517" spans="1:17" x14ac:dyDescent="0.3">
      <c r="A517" s="13" t="s">
        <v>190</v>
      </c>
      <c r="B517" s="13" t="s">
        <v>411</v>
      </c>
      <c r="C517" s="13">
        <v>2024</v>
      </c>
      <c r="D517" s="13"/>
      <c r="E517" s="13" t="s">
        <v>519</v>
      </c>
      <c r="F517" s="72">
        <v>800000000</v>
      </c>
      <c r="G517" s="13" t="s">
        <v>122</v>
      </c>
      <c r="H517" s="13"/>
      <c r="I517" s="13" t="s">
        <v>176</v>
      </c>
      <c r="J517" s="13" t="s">
        <v>177</v>
      </c>
      <c r="K517" s="13" t="s">
        <v>310</v>
      </c>
      <c r="L517" s="13"/>
      <c r="M517" s="72">
        <v>800000000</v>
      </c>
      <c r="N517" s="13" t="s">
        <v>511</v>
      </c>
      <c r="O517" s="13">
        <v>2</v>
      </c>
      <c r="P517" s="13"/>
      <c r="Q517" s="73" t="s">
        <v>517</v>
      </c>
    </row>
    <row r="518" spans="1:17" x14ac:dyDescent="0.3">
      <c r="A518" s="13" t="s">
        <v>190</v>
      </c>
      <c r="B518" s="13" t="s">
        <v>411</v>
      </c>
      <c r="C518" s="13">
        <v>2025</v>
      </c>
      <c r="D518" s="13"/>
      <c r="E518" s="13" t="s">
        <v>499</v>
      </c>
      <c r="F518" s="72">
        <v>856000000</v>
      </c>
      <c r="G518" s="13" t="s">
        <v>122</v>
      </c>
      <c r="H518" s="13"/>
      <c r="I518" s="13" t="s">
        <v>176</v>
      </c>
      <c r="J518" s="13" t="s">
        <v>177</v>
      </c>
      <c r="K518" s="13" t="s">
        <v>310</v>
      </c>
      <c r="L518" s="13"/>
      <c r="M518" s="72">
        <v>856000000</v>
      </c>
      <c r="N518" s="13" t="s">
        <v>177</v>
      </c>
      <c r="O518" s="13">
        <v>1</v>
      </c>
      <c r="P518" s="13"/>
      <c r="Q518" s="73" t="s">
        <v>517</v>
      </c>
    </row>
    <row r="519" spans="1:17" x14ac:dyDescent="0.3">
      <c r="A519" s="13" t="s">
        <v>190</v>
      </c>
      <c r="B519" s="13" t="s">
        <v>419</v>
      </c>
      <c r="C519" s="13">
        <v>2015</v>
      </c>
      <c r="D519" s="13"/>
      <c r="E519" s="13" t="s">
        <v>456</v>
      </c>
      <c r="F519" s="72">
        <v>5816000000</v>
      </c>
      <c r="G519" s="13" t="s">
        <v>151</v>
      </c>
      <c r="H519" s="13"/>
      <c r="I519" s="13" t="s">
        <v>575</v>
      </c>
      <c r="J519" s="13" t="s">
        <v>530</v>
      </c>
      <c r="K519" s="13" t="s">
        <v>310</v>
      </c>
      <c r="L519" s="13"/>
      <c r="M519" s="72">
        <v>5816000000</v>
      </c>
      <c r="N519" s="13" t="s">
        <v>523</v>
      </c>
      <c r="O519" s="13">
        <v>2</v>
      </c>
      <c r="P519" s="13"/>
      <c r="Q519" s="73" t="s">
        <v>576</v>
      </c>
    </row>
    <row r="520" spans="1:17" x14ac:dyDescent="0.3">
      <c r="A520" s="13" t="s">
        <v>190</v>
      </c>
      <c r="B520" s="13" t="s">
        <v>419</v>
      </c>
      <c r="C520" s="13">
        <v>2016</v>
      </c>
      <c r="D520" s="13"/>
      <c r="E520" s="13" t="s">
        <v>527</v>
      </c>
      <c r="F520" s="72">
        <v>6003000000</v>
      </c>
      <c r="G520" s="13" t="s">
        <v>151</v>
      </c>
      <c r="H520" s="13"/>
      <c r="I520" s="13" t="s">
        <v>521</v>
      </c>
      <c r="J520" s="13" t="s">
        <v>522</v>
      </c>
      <c r="K520" s="13" t="s">
        <v>310</v>
      </c>
      <c r="L520" s="13"/>
      <c r="M520" s="72">
        <v>6003000000</v>
      </c>
      <c r="N520" s="13" t="s">
        <v>530</v>
      </c>
      <c r="O520" s="13">
        <v>2</v>
      </c>
      <c r="P520" s="13"/>
      <c r="Q520" s="73" t="s">
        <v>525</v>
      </c>
    </row>
    <row r="521" spans="1:17" x14ac:dyDescent="0.3">
      <c r="A521" s="13" t="s">
        <v>190</v>
      </c>
      <c r="B521" s="13" t="s">
        <v>419</v>
      </c>
      <c r="C521" s="13">
        <v>2017</v>
      </c>
      <c r="D521" s="13"/>
      <c r="E521" s="13" t="s">
        <v>534</v>
      </c>
      <c r="F521" s="72">
        <v>6780000000</v>
      </c>
      <c r="G521" s="13" t="s">
        <v>151</v>
      </c>
      <c r="H521" s="13"/>
      <c r="I521" s="13" t="s">
        <v>528</v>
      </c>
      <c r="J521" s="13" t="s">
        <v>529</v>
      </c>
      <c r="K521" s="13" t="s">
        <v>310</v>
      </c>
      <c r="L521" s="13"/>
      <c r="M521" s="72">
        <v>6780000000</v>
      </c>
      <c r="N521" s="13" t="s">
        <v>522</v>
      </c>
      <c r="O521" s="13">
        <v>2</v>
      </c>
      <c r="P521" s="13"/>
      <c r="Q521" s="73" t="s">
        <v>532</v>
      </c>
    </row>
    <row r="522" spans="1:17" x14ac:dyDescent="0.3">
      <c r="A522" s="13" t="s">
        <v>190</v>
      </c>
      <c r="B522" s="13" t="s">
        <v>419</v>
      </c>
      <c r="C522" s="13">
        <v>2018</v>
      </c>
      <c r="D522" s="13"/>
      <c r="E522" s="13" t="s">
        <v>540</v>
      </c>
      <c r="F522" s="72">
        <v>6683000000</v>
      </c>
      <c r="G522" s="13" t="s">
        <v>151</v>
      </c>
      <c r="H522" s="13"/>
      <c r="I522" s="13" t="s">
        <v>535</v>
      </c>
      <c r="J522" s="13" t="s">
        <v>536</v>
      </c>
      <c r="K522" s="13" t="s">
        <v>310</v>
      </c>
      <c r="L522" s="13"/>
      <c r="M522" s="72">
        <v>6683000000</v>
      </c>
      <c r="N522" s="13" t="s">
        <v>529</v>
      </c>
      <c r="O522" s="13">
        <v>2</v>
      </c>
      <c r="P522" s="13"/>
      <c r="Q522" s="73" t="s">
        <v>538</v>
      </c>
    </row>
    <row r="523" spans="1:17" x14ac:dyDescent="0.3">
      <c r="A523" s="13" t="s">
        <v>190</v>
      </c>
      <c r="B523" s="13" t="s">
        <v>419</v>
      </c>
      <c r="C523" s="13">
        <v>2019</v>
      </c>
      <c r="D523" s="13"/>
      <c r="E523" s="13" t="s">
        <v>316</v>
      </c>
      <c r="F523" s="72">
        <v>4307000000</v>
      </c>
      <c r="G523" s="13" t="s">
        <v>123</v>
      </c>
      <c r="H523" s="13"/>
      <c r="I523" s="13" t="s">
        <v>541</v>
      </c>
      <c r="J523" s="13" t="s">
        <v>542</v>
      </c>
      <c r="K523" s="13" t="s">
        <v>310</v>
      </c>
      <c r="L523" s="13"/>
      <c r="M523" s="72">
        <v>4307000000</v>
      </c>
      <c r="N523" s="13" t="s">
        <v>536</v>
      </c>
      <c r="O523" s="13">
        <v>2</v>
      </c>
      <c r="P523" s="13"/>
      <c r="Q523" s="73" t="s">
        <v>544</v>
      </c>
    </row>
    <row r="524" spans="1:17" x14ac:dyDescent="0.3">
      <c r="A524" s="13" t="s">
        <v>190</v>
      </c>
      <c r="B524" s="13" t="s">
        <v>419</v>
      </c>
      <c r="C524" s="13">
        <v>2020</v>
      </c>
      <c r="D524" s="13"/>
      <c r="E524" s="13" t="s">
        <v>483</v>
      </c>
      <c r="F524" s="72">
        <v>3847000000</v>
      </c>
      <c r="G524" s="13" t="s">
        <v>123</v>
      </c>
      <c r="H524" s="13"/>
      <c r="I524" s="13" t="s">
        <v>545</v>
      </c>
      <c r="J524" s="13" t="s">
        <v>546</v>
      </c>
      <c r="K524" s="13" t="s">
        <v>310</v>
      </c>
      <c r="L524" s="13"/>
      <c r="M524" s="72">
        <v>3847000000</v>
      </c>
      <c r="N524" s="13" t="s">
        <v>542</v>
      </c>
      <c r="O524" s="13">
        <v>2</v>
      </c>
      <c r="P524" s="13"/>
      <c r="Q524" s="73" t="s">
        <v>548</v>
      </c>
    </row>
    <row r="525" spans="1:17" x14ac:dyDescent="0.3">
      <c r="A525" s="13" t="s">
        <v>190</v>
      </c>
      <c r="B525" s="13" t="s">
        <v>419</v>
      </c>
      <c r="C525" s="13">
        <v>2021</v>
      </c>
      <c r="D525" s="13"/>
      <c r="E525" s="13" t="s">
        <v>554</v>
      </c>
      <c r="F525" s="72">
        <v>4243000000</v>
      </c>
      <c r="G525" s="13" t="s">
        <v>123</v>
      </c>
      <c r="H525" s="13"/>
      <c r="I525" s="13" t="s">
        <v>549</v>
      </c>
      <c r="J525" s="13" t="s">
        <v>550</v>
      </c>
      <c r="K525" s="13" t="s">
        <v>310</v>
      </c>
      <c r="L525" s="13"/>
      <c r="M525" s="72">
        <v>4243000000</v>
      </c>
      <c r="N525" s="13" t="s">
        <v>546</v>
      </c>
      <c r="O525" s="13">
        <v>2</v>
      </c>
      <c r="P525" s="13"/>
      <c r="Q525" s="73" t="s">
        <v>552</v>
      </c>
    </row>
    <row r="526" spans="1:17" x14ac:dyDescent="0.3">
      <c r="A526" s="13" t="s">
        <v>190</v>
      </c>
      <c r="B526" s="13" t="s">
        <v>419</v>
      </c>
      <c r="C526" s="13">
        <v>2022</v>
      </c>
      <c r="D526" s="13"/>
      <c r="E526" s="13" t="s">
        <v>508</v>
      </c>
      <c r="F526" s="72">
        <v>4843000000</v>
      </c>
      <c r="G526" s="13" t="s">
        <v>123</v>
      </c>
      <c r="H526" s="13"/>
      <c r="I526" s="13" t="s">
        <v>555</v>
      </c>
      <c r="J526" s="13" t="s">
        <v>556</v>
      </c>
      <c r="K526" s="13" t="s">
        <v>310</v>
      </c>
      <c r="L526" s="13"/>
      <c r="M526" s="72">
        <v>4843000000</v>
      </c>
      <c r="N526" s="13" t="s">
        <v>550</v>
      </c>
      <c r="O526" s="13">
        <v>2</v>
      </c>
      <c r="P526" s="13"/>
      <c r="Q526" s="73" t="s">
        <v>558</v>
      </c>
    </row>
    <row r="527" spans="1:17" x14ac:dyDescent="0.3">
      <c r="A527" s="13" t="s">
        <v>190</v>
      </c>
      <c r="B527" s="13" t="s">
        <v>419</v>
      </c>
      <c r="C527" s="13">
        <v>2023</v>
      </c>
      <c r="D527" s="13"/>
      <c r="E527" s="13" t="s">
        <v>515</v>
      </c>
      <c r="F527" s="72">
        <v>5709000000</v>
      </c>
      <c r="G527" s="13" t="s">
        <v>123</v>
      </c>
      <c r="H527" s="13"/>
      <c r="I527" s="13" t="s">
        <v>510</v>
      </c>
      <c r="J527" s="13" t="s">
        <v>511</v>
      </c>
      <c r="K527" s="13" t="s">
        <v>310</v>
      </c>
      <c r="L527" s="13"/>
      <c r="M527" s="72">
        <v>5709000000</v>
      </c>
      <c r="N527" s="13" t="s">
        <v>556</v>
      </c>
      <c r="O527" s="13">
        <v>2</v>
      </c>
      <c r="P527" s="13"/>
      <c r="Q527" s="73" t="s">
        <v>513</v>
      </c>
    </row>
    <row r="528" spans="1:17" x14ac:dyDescent="0.3">
      <c r="A528" s="13" t="s">
        <v>190</v>
      </c>
      <c r="B528" s="13" t="s">
        <v>419</v>
      </c>
      <c r="C528" s="13">
        <v>2024</v>
      </c>
      <c r="D528" s="13"/>
      <c r="E528" s="13" t="s">
        <v>519</v>
      </c>
      <c r="F528" s="72">
        <v>5923000000</v>
      </c>
      <c r="G528" s="13" t="s">
        <v>123</v>
      </c>
      <c r="H528" s="13"/>
      <c r="I528" s="13" t="s">
        <v>176</v>
      </c>
      <c r="J528" s="13" t="s">
        <v>177</v>
      </c>
      <c r="K528" s="13" t="s">
        <v>310</v>
      </c>
      <c r="L528" s="13"/>
      <c r="M528" s="72">
        <v>5923000000</v>
      </c>
      <c r="N528" s="13" t="s">
        <v>511</v>
      </c>
      <c r="O528" s="13">
        <v>2</v>
      </c>
      <c r="P528" s="13"/>
      <c r="Q528" s="73" t="s">
        <v>517</v>
      </c>
    </row>
    <row r="529" spans="1:17" x14ac:dyDescent="0.3">
      <c r="A529" s="13" t="s">
        <v>190</v>
      </c>
      <c r="B529" s="13" t="s">
        <v>419</v>
      </c>
      <c r="C529" s="13">
        <v>2025</v>
      </c>
      <c r="D529" s="13"/>
      <c r="E529" s="13" t="s">
        <v>499</v>
      </c>
      <c r="F529" s="72">
        <v>5905000000</v>
      </c>
      <c r="G529" s="13" t="s">
        <v>123</v>
      </c>
      <c r="H529" s="13"/>
      <c r="I529" s="13" t="s">
        <v>176</v>
      </c>
      <c r="J529" s="13" t="s">
        <v>177</v>
      </c>
      <c r="K529" s="13" t="s">
        <v>310</v>
      </c>
      <c r="L529" s="13"/>
      <c r="M529" s="72">
        <v>5905000000</v>
      </c>
      <c r="N529" s="13" t="s">
        <v>177</v>
      </c>
      <c r="O529" s="13">
        <v>1</v>
      </c>
      <c r="P529" s="13"/>
      <c r="Q529" s="73" t="s">
        <v>517</v>
      </c>
    </row>
    <row r="530" spans="1:17" x14ac:dyDescent="0.3">
      <c r="A530" s="13" t="s">
        <v>190</v>
      </c>
      <c r="B530" s="13" t="s">
        <v>421</v>
      </c>
      <c r="C530" s="13">
        <v>2015</v>
      </c>
      <c r="D530" s="13"/>
      <c r="E530" s="13" t="s">
        <v>456</v>
      </c>
      <c r="F530" s="72">
        <v>6367000000</v>
      </c>
      <c r="G530" s="13" t="s">
        <v>152</v>
      </c>
      <c r="H530" s="13"/>
      <c r="I530" s="13" t="s">
        <v>577</v>
      </c>
      <c r="J530" s="13" t="s">
        <v>523</v>
      </c>
      <c r="K530" s="13" t="s">
        <v>310</v>
      </c>
      <c r="L530" s="13"/>
      <c r="M530" s="72">
        <v>6367000000</v>
      </c>
      <c r="N530" s="13" t="s">
        <v>523</v>
      </c>
      <c r="O530" s="13">
        <v>1</v>
      </c>
      <c r="P530" s="13"/>
      <c r="Q530" s="73" t="s">
        <v>578</v>
      </c>
    </row>
    <row r="531" spans="1:17" x14ac:dyDescent="0.3">
      <c r="A531" s="13" t="s">
        <v>190</v>
      </c>
      <c r="B531" s="13" t="s">
        <v>421</v>
      </c>
      <c r="C531" s="13">
        <v>2016</v>
      </c>
      <c r="D531" s="13"/>
      <c r="E531" s="13" t="s">
        <v>527</v>
      </c>
      <c r="F531" s="72">
        <v>6568000000</v>
      </c>
      <c r="G531" s="13" t="s">
        <v>152</v>
      </c>
      <c r="H531" s="13"/>
      <c r="I531" s="13" t="s">
        <v>575</v>
      </c>
      <c r="J531" s="13" t="s">
        <v>530</v>
      </c>
      <c r="K531" s="13" t="s">
        <v>310</v>
      </c>
      <c r="L531" s="13"/>
      <c r="M531" s="72">
        <v>6568000000</v>
      </c>
      <c r="N531" s="13" t="s">
        <v>530</v>
      </c>
      <c r="O531" s="13">
        <v>1</v>
      </c>
      <c r="P531" s="13"/>
      <c r="Q531" s="73" t="s">
        <v>576</v>
      </c>
    </row>
    <row r="532" spans="1:17" x14ac:dyDescent="0.3">
      <c r="A532" s="13" t="s">
        <v>190</v>
      </c>
      <c r="B532" s="13" t="s">
        <v>421</v>
      </c>
      <c r="C532" s="13">
        <v>2017</v>
      </c>
      <c r="D532" s="13"/>
      <c r="E532" s="13" t="s">
        <v>534</v>
      </c>
      <c r="F532" s="72">
        <v>7447000000</v>
      </c>
      <c r="G532" s="13" t="s">
        <v>152</v>
      </c>
      <c r="H532" s="13"/>
      <c r="I532" s="13" t="s">
        <v>521</v>
      </c>
      <c r="J532" s="13" t="s">
        <v>522</v>
      </c>
      <c r="K532" s="13" t="s">
        <v>310</v>
      </c>
      <c r="L532" s="13"/>
      <c r="M532" s="72">
        <v>7447000000</v>
      </c>
      <c r="N532" s="13" t="s">
        <v>522</v>
      </c>
      <c r="O532" s="13">
        <v>1</v>
      </c>
      <c r="P532" s="13"/>
      <c r="Q532" s="73" t="s">
        <v>525</v>
      </c>
    </row>
    <row r="533" spans="1:17" x14ac:dyDescent="0.3">
      <c r="A533" s="13" t="s">
        <v>190</v>
      </c>
      <c r="B533" s="13" t="s">
        <v>421</v>
      </c>
      <c r="C533" s="13">
        <v>2018</v>
      </c>
      <c r="D533" s="13"/>
      <c r="E533" s="13" t="s">
        <v>540</v>
      </c>
      <c r="F533" s="72">
        <v>7412000000</v>
      </c>
      <c r="G533" s="13" t="s">
        <v>152</v>
      </c>
      <c r="H533" s="13"/>
      <c r="I533" s="13" t="s">
        <v>535</v>
      </c>
      <c r="J533" s="13" t="s">
        <v>536</v>
      </c>
      <c r="K533" s="13" t="s">
        <v>310</v>
      </c>
      <c r="L533" s="13"/>
      <c r="M533" s="72">
        <v>7412000000</v>
      </c>
      <c r="N533" s="13" t="s">
        <v>529</v>
      </c>
      <c r="O533" s="13">
        <v>2</v>
      </c>
      <c r="P533" s="13"/>
      <c r="Q533" s="73" t="s">
        <v>538</v>
      </c>
    </row>
    <row r="534" spans="1:17" x14ac:dyDescent="0.3">
      <c r="A534" s="13" t="s">
        <v>190</v>
      </c>
      <c r="B534" s="13" t="s">
        <v>421</v>
      </c>
      <c r="C534" s="13">
        <v>2019</v>
      </c>
      <c r="D534" s="13"/>
      <c r="E534" s="13" t="s">
        <v>316</v>
      </c>
      <c r="F534" s="72">
        <v>4818000000</v>
      </c>
      <c r="G534" s="13" t="s">
        <v>124</v>
      </c>
      <c r="H534" s="13"/>
      <c r="I534" s="13" t="s">
        <v>535</v>
      </c>
      <c r="J534" s="13" t="s">
        <v>536</v>
      </c>
      <c r="K534" s="13" t="s">
        <v>310</v>
      </c>
      <c r="L534" s="13"/>
      <c r="M534" s="72">
        <v>4818000000</v>
      </c>
      <c r="N534" s="13" t="s">
        <v>536</v>
      </c>
      <c r="O534" s="13">
        <v>1</v>
      </c>
      <c r="P534" s="13"/>
      <c r="Q534" s="73" t="s">
        <v>538</v>
      </c>
    </row>
    <row r="535" spans="1:17" x14ac:dyDescent="0.3">
      <c r="A535" s="13" t="s">
        <v>190</v>
      </c>
      <c r="B535" s="13" t="s">
        <v>421</v>
      </c>
      <c r="C535" s="13">
        <v>2020</v>
      </c>
      <c r="D535" s="13"/>
      <c r="E535" s="13" t="s">
        <v>483</v>
      </c>
      <c r="F535" s="72">
        <v>4338000000</v>
      </c>
      <c r="G535" s="13" t="s">
        <v>124</v>
      </c>
      <c r="H535" s="13"/>
      <c r="I535" s="13" t="s">
        <v>541</v>
      </c>
      <c r="J535" s="13" t="s">
        <v>542</v>
      </c>
      <c r="K535" s="13" t="s">
        <v>310</v>
      </c>
      <c r="L535" s="13"/>
      <c r="M535" s="72">
        <v>4338000000</v>
      </c>
      <c r="N535" s="13" t="s">
        <v>542</v>
      </c>
      <c r="O535" s="13">
        <v>1</v>
      </c>
      <c r="P535" s="13"/>
      <c r="Q535" s="73" t="s">
        <v>544</v>
      </c>
    </row>
    <row r="536" spans="1:17" x14ac:dyDescent="0.3">
      <c r="A536" s="13" t="s">
        <v>190</v>
      </c>
      <c r="B536" s="13" t="s">
        <v>421</v>
      </c>
      <c r="C536" s="13">
        <v>2021</v>
      </c>
      <c r="D536" s="13"/>
      <c r="E536" s="13" t="s">
        <v>554</v>
      </c>
      <c r="F536" s="72">
        <v>4754000000</v>
      </c>
      <c r="G536" s="13" t="s">
        <v>124</v>
      </c>
      <c r="H536" s="13"/>
      <c r="I536" s="13" t="s">
        <v>545</v>
      </c>
      <c r="J536" s="13" t="s">
        <v>546</v>
      </c>
      <c r="K536" s="13" t="s">
        <v>310</v>
      </c>
      <c r="L536" s="13"/>
      <c r="M536" s="72">
        <v>4754000000</v>
      </c>
      <c r="N536" s="13" t="s">
        <v>546</v>
      </c>
      <c r="O536" s="13">
        <v>1</v>
      </c>
      <c r="P536" s="13"/>
      <c r="Q536" s="73" t="s">
        <v>548</v>
      </c>
    </row>
    <row r="537" spans="1:17" x14ac:dyDescent="0.3">
      <c r="A537" s="13" t="s">
        <v>190</v>
      </c>
      <c r="B537" s="13" t="s">
        <v>421</v>
      </c>
      <c r="C537" s="13">
        <v>2022</v>
      </c>
      <c r="D537" s="13"/>
      <c r="E537" s="13" t="s">
        <v>508</v>
      </c>
      <c r="F537" s="72">
        <v>5410000000</v>
      </c>
      <c r="G537" s="13" t="s">
        <v>124</v>
      </c>
      <c r="H537" s="13"/>
      <c r="I537" s="13" t="s">
        <v>549</v>
      </c>
      <c r="J537" s="13" t="s">
        <v>550</v>
      </c>
      <c r="K537" s="13" t="s">
        <v>310</v>
      </c>
      <c r="L537" s="13"/>
      <c r="M537" s="72">
        <v>5410000000</v>
      </c>
      <c r="N537" s="13" t="s">
        <v>550</v>
      </c>
      <c r="O537" s="13">
        <v>1</v>
      </c>
      <c r="P537" s="13"/>
      <c r="Q537" s="73" t="s">
        <v>552</v>
      </c>
    </row>
    <row r="538" spans="1:17" x14ac:dyDescent="0.3">
      <c r="A538" s="13" t="s">
        <v>190</v>
      </c>
      <c r="B538" s="13" t="s">
        <v>421</v>
      </c>
      <c r="C538" s="13">
        <v>2023</v>
      </c>
      <c r="D538" s="13"/>
      <c r="E538" s="13" t="s">
        <v>515</v>
      </c>
      <c r="F538" s="72">
        <v>6434000000</v>
      </c>
      <c r="G538" s="13" t="s">
        <v>124</v>
      </c>
      <c r="H538" s="13"/>
      <c r="I538" s="13" t="s">
        <v>555</v>
      </c>
      <c r="J538" s="13" t="s">
        <v>556</v>
      </c>
      <c r="K538" s="13" t="s">
        <v>310</v>
      </c>
      <c r="L538" s="13"/>
      <c r="M538" s="72">
        <v>6434000000</v>
      </c>
      <c r="N538" s="13" t="s">
        <v>556</v>
      </c>
      <c r="O538" s="13">
        <v>1</v>
      </c>
      <c r="P538" s="13"/>
      <c r="Q538" s="73" t="s">
        <v>558</v>
      </c>
    </row>
    <row r="539" spans="1:17" x14ac:dyDescent="0.3">
      <c r="A539" s="13" t="s">
        <v>190</v>
      </c>
      <c r="B539" s="13" t="s">
        <v>421</v>
      </c>
      <c r="C539" s="13">
        <v>2024</v>
      </c>
      <c r="D539" s="13"/>
      <c r="E539" s="13" t="s">
        <v>519</v>
      </c>
      <c r="F539" s="72">
        <v>6723000000</v>
      </c>
      <c r="G539" s="13" t="s">
        <v>124</v>
      </c>
      <c r="H539" s="13"/>
      <c r="I539" s="13" t="s">
        <v>510</v>
      </c>
      <c r="J539" s="13" t="s">
        <v>511</v>
      </c>
      <c r="K539" s="13" t="s">
        <v>310</v>
      </c>
      <c r="L539" s="13"/>
      <c r="M539" s="72">
        <v>6723000000</v>
      </c>
      <c r="N539" s="13" t="s">
        <v>511</v>
      </c>
      <c r="O539" s="13">
        <v>1</v>
      </c>
      <c r="P539" s="13"/>
      <c r="Q539" s="73" t="s">
        <v>513</v>
      </c>
    </row>
    <row r="540" spans="1:17" x14ac:dyDescent="0.3">
      <c r="A540" s="13" t="s">
        <v>190</v>
      </c>
      <c r="B540" s="13" t="s">
        <v>421</v>
      </c>
      <c r="C540" s="13">
        <v>2025</v>
      </c>
      <c r="D540" s="13"/>
      <c r="E540" s="13" t="s">
        <v>499</v>
      </c>
      <c r="F540" s="72">
        <v>6761000000</v>
      </c>
      <c r="G540" s="13" t="s">
        <v>124</v>
      </c>
      <c r="H540" s="13"/>
      <c r="I540" s="13" t="s">
        <v>176</v>
      </c>
      <c r="J540" s="13" t="s">
        <v>177</v>
      </c>
      <c r="K540" s="13" t="s">
        <v>310</v>
      </c>
      <c r="L540" s="13"/>
      <c r="M540" s="72">
        <v>6761000000</v>
      </c>
      <c r="N540" s="13" t="s">
        <v>177</v>
      </c>
      <c r="O540" s="13">
        <v>1</v>
      </c>
      <c r="P540" s="13"/>
      <c r="Q540" s="73" t="s">
        <v>517</v>
      </c>
    </row>
    <row r="541" spans="1:17" x14ac:dyDescent="0.3">
      <c r="A541" s="13" t="s">
        <v>190</v>
      </c>
      <c r="B541" s="13" t="s">
        <v>426</v>
      </c>
      <c r="C541" s="13">
        <v>2015</v>
      </c>
      <c r="D541" s="13"/>
      <c r="E541" s="13" t="s">
        <v>456</v>
      </c>
      <c r="F541" s="72">
        <v>44469000000</v>
      </c>
      <c r="G541" s="13" t="s">
        <v>98</v>
      </c>
      <c r="H541" s="13"/>
      <c r="I541" s="13" t="s">
        <v>575</v>
      </c>
      <c r="J541" s="13" t="s">
        <v>530</v>
      </c>
      <c r="K541" s="13" t="s">
        <v>310</v>
      </c>
      <c r="L541" s="13"/>
      <c r="M541" s="72">
        <v>44469000000</v>
      </c>
      <c r="N541" s="13" t="s">
        <v>523</v>
      </c>
      <c r="O541" s="13">
        <v>2</v>
      </c>
      <c r="P541" s="13"/>
      <c r="Q541" s="73" t="s">
        <v>576</v>
      </c>
    </row>
    <row r="542" spans="1:17" x14ac:dyDescent="0.3">
      <c r="A542" s="13" t="s">
        <v>190</v>
      </c>
      <c r="B542" s="13" t="s">
        <v>426</v>
      </c>
      <c r="C542" s="13">
        <v>2016</v>
      </c>
      <c r="D542" s="13"/>
      <c r="E542" s="13" t="s">
        <v>527</v>
      </c>
      <c r="F542" s="72">
        <v>43046000000</v>
      </c>
      <c r="G542" s="13" t="s">
        <v>98</v>
      </c>
      <c r="H542" s="13"/>
      <c r="I542" s="13" t="s">
        <v>521</v>
      </c>
      <c r="J542" s="13" t="s">
        <v>522</v>
      </c>
      <c r="K542" s="13" t="s">
        <v>310</v>
      </c>
      <c r="L542" s="13"/>
      <c r="M542" s="72">
        <v>43046000000</v>
      </c>
      <c r="N542" s="13" t="s">
        <v>530</v>
      </c>
      <c r="O542" s="13">
        <v>2</v>
      </c>
      <c r="P542" s="13"/>
      <c r="Q542" s="73" t="s">
        <v>525</v>
      </c>
    </row>
    <row r="543" spans="1:17" x14ac:dyDescent="0.3">
      <c r="A543" s="13" t="s">
        <v>190</v>
      </c>
      <c r="B543" s="13" t="s">
        <v>426</v>
      </c>
      <c r="C543" s="13">
        <v>2017</v>
      </c>
      <c r="D543" s="13"/>
      <c r="E543" s="13" t="s">
        <v>534</v>
      </c>
      <c r="F543" s="72">
        <v>43783000000</v>
      </c>
      <c r="G543" s="13" t="s">
        <v>98</v>
      </c>
      <c r="H543" s="13"/>
      <c r="I543" s="13" t="s">
        <v>528</v>
      </c>
      <c r="J543" s="13" t="s">
        <v>529</v>
      </c>
      <c r="K543" s="13" t="s">
        <v>310</v>
      </c>
      <c r="L543" s="13"/>
      <c r="M543" s="72">
        <v>43783000000</v>
      </c>
      <c r="N543" s="13" t="s">
        <v>522</v>
      </c>
      <c r="O543" s="13">
        <v>2</v>
      </c>
      <c r="P543" s="13"/>
      <c r="Q543" s="73" t="s">
        <v>532</v>
      </c>
    </row>
    <row r="544" spans="1:17" x14ac:dyDescent="0.3">
      <c r="A544" s="13" t="s">
        <v>190</v>
      </c>
      <c r="B544" s="13" t="s">
        <v>426</v>
      </c>
      <c r="C544" s="13">
        <v>2018</v>
      </c>
      <c r="D544" s="13"/>
      <c r="E544" s="13" t="s">
        <v>540</v>
      </c>
      <c r="F544" s="72">
        <v>44269000000</v>
      </c>
      <c r="G544" s="13" t="s">
        <v>98</v>
      </c>
      <c r="H544" s="13"/>
      <c r="I544" s="13" t="s">
        <v>535</v>
      </c>
      <c r="J544" s="13" t="s">
        <v>536</v>
      </c>
      <c r="K544" s="13" t="s">
        <v>310</v>
      </c>
      <c r="L544" s="13"/>
      <c r="M544" s="72">
        <v>44269000000</v>
      </c>
      <c r="N544" s="13" t="s">
        <v>529</v>
      </c>
      <c r="O544" s="13">
        <v>2</v>
      </c>
      <c r="P544" s="13"/>
      <c r="Q544" s="73" t="s">
        <v>538</v>
      </c>
    </row>
    <row r="545" spans="1:17" x14ac:dyDescent="0.3">
      <c r="A545" s="13" t="s">
        <v>190</v>
      </c>
      <c r="B545" s="13" t="s">
        <v>426</v>
      </c>
      <c r="C545" s="13">
        <v>2019</v>
      </c>
      <c r="D545" s="13"/>
      <c r="E545" s="13" t="s">
        <v>316</v>
      </c>
      <c r="F545" s="72">
        <v>44435000000</v>
      </c>
      <c r="G545" s="13" t="s">
        <v>98</v>
      </c>
      <c r="H545" s="13"/>
      <c r="I545" s="13" t="s">
        <v>541</v>
      </c>
      <c r="J545" s="13" t="s">
        <v>542</v>
      </c>
      <c r="K545" s="13" t="s">
        <v>310</v>
      </c>
      <c r="L545" s="13"/>
      <c r="M545" s="72">
        <v>44435000000</v>
      </c>
      <c r="N545" s="13" t="s">
        <v>536</v>
      </c>
      <c r="O545" s="13">
        <v>2</v>
      </c>
      <c r="P545" s="13"/>
      <c r="Q545" s="73" t="s">
        <v>544</v>
      </c>
    </row>
    <row r="546" spans="1:17" x14ac:dyDescent="0.3">
      <c r="A546" s="13" t="s">
        <v>190</v>
      </c>
      <c r="B546" s="13" t="s">
        <v>426</v>
      </c>
      <c r="C546" s="13">
        <v>2020</v>
      </c>
      <c r="D546" s="13"/>
      <c r="E546" s="13" t="s">
        <v>483</v>
      </c>
      <c r="F546" s="72">
        <v>44949000000</v>
      </c>
      <c r="G546" s="13" t="s">
        <v>98</v>
      </c>
      <c r="H546" s="13"/>
      <c r="I546" s="13" t="s">
        <v>545</v>
      </c>
      <c r="J546" s="13" t="s">
        <v>546</v>
      </c>
      <c r="K546" s="13" t="s">
        <v>310</v>
      </c>
      <c r="L546" s="13"/>
      <c r="M546" s="72">
        <v>44949000000</v>
      </c>
      <c r="N546" s="13" t="s">
        <v>542</v>
      </c>
      <c r="O546" s="13">
        <v>2</v>
      </c>
      <c r="P546" s="13"/>
      <c r="Q546" s="73" t="s">
        <v>548</v>
      </c>
    </row>
    <row r="547" spans="1:17" x14ac:dyDescent="0.3">
      <c r="A547" s="13" t="s">
        <v>190</v>
      </c>
      <c r="B547" s="13" t="s">
        <v>426</v>
      </c>
      <c r="C547" s="13">
        <v>2021</v>
      </c>
      <c r="D547" s="13"/>
      <c r="E547" s="13" t="s">
        <v>554</v>
      </c>
      <c r="F547" s="72">
        <v>56511000000</v>
      </c>
      <c r="G547" s="13" t="s">
        <v>98</v>
      </c>
      <c r="H547" s="13"/>
      <c r="I547" s="13" t="s">
        <v>549</v>
      </c>
      <c r="J547" s="13" t="s">
        <v>550</v>
      </c>
      <c r="K547" s="13" t="s">
        <v>310</v>
      </c>
      <c r="L547" s="13"/>
      <c r="M547" s="72">
        <v>56511000000</v>
      </c>
      <c r="N547" s="13" t="s">
        <v>546</v>
      </c>
      <c r="O547" s="13">
        <v>2</v>
      </c>
      <c r="P547" s="13"/>
      <c r="Q547" s="73" t="s">
        <v>552</v>
      </c>
    </row>
    <row r="548" spans="1:17" x14ac:dyDescent="0.3">
      <c r="A548" s="13" t="s">
        <v>190</v>
      </c>
      <c r="B548" s="13" t="s">
        <v>426</v>
      </c>
      <c r="C548" s="13">
        <v>2022</v>
      </c>
      <c r="D548" s="13"/>
      <c r="E548" s="13" t="s">
        <v>508</v>
      </c>
      <c r="F548" s="72">
        <v>56576000000</v>
      </c>
      <c r="G548" s="13" t="s">
        <v>98</v>
      </c>
      <c r="H548" s="13"/>
      <c r="I548" s="13" t="s">
        <v>555</v>
      </c>
      <c r="J548" s="13" t="s">
        <v>556</v>
      </c>
      <c r="K548" s="13" t="s">
        <v>310</v>
      </c>
      <c r="L548" s="13"/>
      <c r="M548" s="72">
        <v>56576000000</v>
      </c>
      <c r="N548" s="13" t="s">
        <v>550</v>
      </c>
      <c r="O548" s="13">
        <v>2</v>
      </c>
      <c r="P548" s="13"/>
      <c r="Q548" s="73" t="s">
        <v>558</v>
      </c>
    </row>
    <row r="549" spans="1:17" x14ac:dyDescent="0.3">
      <c r="A549" s="13" t="s">
        <v>190</v>
      </c>
      <c r="B549" s="13" t="s">
        <v>426</v>
      </c>
      <c r="C549" s="13">
        <v>2023</v>
      </c>
      <c r="D549" s="13"/>
      <c r="E549" s="13" t="s">
        <v>515</v>
      </c>
      <c r="F549" s="72">
        <v>54892000000</v>
      </c>
      <c r="G549" s="13" t="s">
        <v>98</v>
      </c>
      <c r="H549" s="13"/>
      <c r="I549" s="13" t="s">
        <v>510</v>
      </c>
      <c r="J549" s="13" t="s">
        <v>511</v>
      </c>
      <c r="K549" s="13" t="s">
        <v>310</v>
      </c>
      <c r="L549" s="13"/>
      <c r="M549" s="72">
        <v>54892000000</v>
      </c>
      <c r="N549" s="13" t="s">
        <v>556</v>
      </c>
      <c r="O549" s="13">
        <v>2</v>
      </c>
      <c r="P549" s="13"/>
      <c r="Q549" s="73" t="s">
        <v>513</v>
      </c>
    </row>
    <row r="550" spans="1:17" x14ac:dyDescent="0.3">
      <c r="A550" s="13" t="s">
        <v>190</v>
      </c>
      <c r="B550" s="13" t="s">
        <v>426</v>
      </c>
      <c r="C550" s="13">
        <v>2024</v>
      </c>
      <c r="D550" s="13"/>
      <c r="E550" s="13" t="s">
        <v>519</v>
      </c>
      <c r="F550" s="72">
        <v>56435000000</v>
      </c>
      <c r="G550" s="13" t="s">
        <v>98</v>
      </c>
      <c r="H550" s="13"/>
      <c r="I550" s="13" t="s">
        <v>176</v>
      </c>
      <c r="J550" s="13" t="s">
        <v>177</v>
      </c>
      <c r="K550" s="13" t="s">
        <v>310</v>
      </c>
      <c r="L550" s="13"/>
      <c r="M550" s="72">
        <v>56435000000</v>
      </c>
      <c r="N550" s="13" t="s">
        <v>511</v>
      </c>
      <c r="O550" s="13">
        <v>2</v>
      </c>
      <c r="P550" s="13"/>
      <c r="Q550" s="73" t="s">
        <v>517</v>
      </c>
    </row>
    <row r="551" spans="1:17" x14ac:dyDescent="0.3">
      <c r="A551" s="13" t="s">
        <v>190</v>
      </c>
      <c r="B551" s="13" t="s">
        <v>426</v>
      </c>
      <c r="C551" s="13">
        <v>2025</v>
      </c>
      <c r="D551" s="13"/>
      <c r="E551" s="13" t="s">
        <v>499</v>
      </c>
      <c r="F551" s="72">
        <v>58851000000</v>
      </c>
      <c r="G551" s="13" t="s">
        <v>98</v>
      </c>
      <c r="H551" s="13"/>
      <c r="I551" s="13" t="s">
        <v>176</v>
      </c>
      <c r="J551" s="13" t="s">
        <v>177</v>
      </c>
      <c r="K551" s="13" t="s">
        <v>310</v>
      </c>
      <c r="L551" s="13"/>
      <c r="M551" s="72">
        <v>58851000000</v>
      </c>
      <c r="N551" s="13" t="s">
        <v>177</v>
      </c>
      <c r="O551" s="13">
        <v>1</v>
      </c>
      <c r="P551" s="13"/>
      <c r="Q551" s="73" t="s">
        <v>517</v>
      </c>
    </row>
    <row r="552" spans="1:17" x14ac:dyDescent="0.3">
      <c r="A552" s="13" t="s">
        <v>190</v>
      </c>
      <c r="B552" s="13" t="s">
        <v>428</v>
      </c>
      <c r="C552" s="13">
        <v>2015</v>
      </c>
      <c r="D552" s="13"/>
      <c r="E552" s="13" t="s">
        <v>456</v>
      </c>
      <c r="F552" s="72">
        <v>2745000000</v>
      </c>
      <c r="G552" s="13" t="s">
        <v>80</v>
      </c>
      <c r="H552" s="13"/>
      <c r="I552" s="13" t="s">
        <v>575</v>
      </c>
      <c r="J552" s="13" t="s">
        <v>530</v>
      </c>
      <c r="K552" s="13" t="s">
        <v>310</v>
      </c>
      <c r="L552" s="13"/>
      <c r="M552" s="72">
        <v>2745000000</v>
      </c>
      <c r="N552" s="13" t="s">
        <v>523</v>
      </c>
      <c r="O552" s="13">
        <v>2</v>
      </c>
      <c r="P552" s="13"/>
      <c r="Q552" s="73" t="s">
        <v>576</v>
      </c>
    </row>
    <row r="553" spans="1:17" x14ac:dyDescent="0.3">
      <c r="A553" s="13" t="s">
        <v>190</v>
      </c>
      <c r="B553" s="13" t="s">
        <v>428</v>
      </c>
      <c r="C553" s="13">
        <v>2016</v>
      </c>
      <c r="D553" s="13"/>
      <c r="E553" s="13" t="s">
        <v>527</v>
      </c>
      <c r="F553" s="72">
        <v>2256000000</v>
      </c>
      <c r="G553" s="13" t="s">
        <v>80</v>
      </c>
      <c r="H553" s="13"/>
      <c r="I553" s="13" t="s">
        <v>521</v>
      </c>
      <c r="J553" s="13" t="s">
        <v>522</v>
      </c>
      <c r="K553" s="13" t="s">
        <v>310</v>
      </c>
      <c r="L553" s="13"/>
      <c r="M553" s="72">
        <v>2256000000</v>
      </c>
      <c r="N553" s="13" t="s">
        <v>530</v>
      </c>
      <c r="O553" s="13">
        <v>2</v>
      </c>
      <c r="P553" s="13"/>
      <c r="Q553" s="73" t="s">
        <v>525</v>
      </c>
    </row>
    <row r="554" spans="1:17" x14ac:dyDescent="0.3">
      <c r="A554" s="13" t="s">
        <v>190</v>
      </c>
      <c r="B554" s="13" t="s">
        <v>428</v>
      </c>
      <c r="C554" s="13">
        <v>2017</v>
      </c>
      <c r="D554" s="13"/>
      <c r="E554" s="13" t="s">
        <v>534</v>
      </c>
      <c r="F554" s="72">
        <v>3738000000</v>
      </c>
      <c r="G554" s="13" t="s">
        <v>80</v>
      </c>
      <c r="H554" s="13"/>
      <c r="I554" s="13" t="s">
        <v>528</v>
      </c>
      <c r="J554" s="13" t="s">
        <v>529</v>
      </c>
      <c r="K554" s="13" t="s">
        <v>310</v>
      </c>
      <c r="L554" s="13"/>
      <c r="M554" s="72">
        <v>3738000000</v>
      </c>
      <c r="N554" s="13" t="s">
        <v>522</v>
      </c>
      <c r="O554" s="13">
        <v>2</v>
      </c>
      <c r="P554" s="13"/>
      <c r="Q554" s="73" t="s">
        <v>532</v>
      </c>
    </row>
    <row r="555" spans="1:17" x14ac:dyDescent="0.3">
      <c r="A555" s="13" t="s">
        <v>190</v>
      </c>
      <c r="B555" s="13" t="s">
        <v>428</v>
      </c>
      <c r="C555" s="13">
        <v>2018</v>
      </c>
      <c r="D555" s="13"/>
      <c r="E555" s="13" t="s">
        <v>540</v>
      </c>
      <c r="F555" s="72">
        <v>1876000000</v>
      </c>
      <c r="G555" s="13" t="s">
        <v>80</v>
      </c>
      <c r="H555" s="13"/>
      <c r="I555" s="13" t="s">
        <v>535</v>
      </c>
      <c r="J555" s="13" t="s">
        <v>536</v>
      </c>
      <c r="K555" s="13" t="s">
        <v>310</v>
      </c>
      <c r="L555" s="13"/>
      <c r="M555" s="72">
        <v>1876000000</v>
      </c>
      <c r="N555" s="13" t="s">
        <v>529</v>
      </c>
      <c r="O555" s="13">
        <v>2</v>
      </c>
      <c r="P555" s="13"/>
      <c r="Q555" s="73" t="s">
        <v>538</v>
      </c>
    </row>
    <row r="556" spans="1:17" x14ac:dyDescent="0.3">
      <c r="A556" s="13" t="s">
        <v>190</v>
      </c>
      <c r="B556" s="13" t="s">
        <v>428</v>
      </c>
      <c r="C556" s="13">
        <v>2019</v>
      </c>
      <c r="D556" s="13"/>
      <c r="E556" s="13" t="s">
        <v>316</v>
      </c>
      <c r="F556" s="72">
        <v>5362000000</v>
      </c>
      <c r="G556" s="13" t="s">
        <v>80</v>
      </c>
      <c r="H556" s="13"/>
      <c r="I556" s="13" t="s">
        <v>541</v>
      </c>
      <c r="J556" s="13" t="s">
        <v>542</v>
      </c>
      <c r="K556" s="13" t="s">
        <v>310</v>
      </c>
      <c r="L556" s="13"/>
      <c r="M556" s="72">
        <v>5362000000</v>
      </c>
      <c r="N556" s="13" t="s">
        <v>536</v>
      </c>
      <c r="O556" s="13">
        <v>2</v>
      </c>
      <c r="P556" s="13"/>
      <c r="Q556" s="73" t="s">
        <v>544</v>
      </c>
    </row>
    <row r="557" spans="1:17" x14ac:dyDescent="0.3">
      <c r="A557" s="13" t="s">
        <v>190</v>
      </c>
      <c r="B557" s="13" t="s">
        <v>428</v>
      </c>
      <c r="C557" s="13">
        <v>2020</v>
      </c>
      <c r="D557" s="13"/>
      <c r="E557" s="13" t="s">
        <v>483</v>
      </c>
      <c r="F557" s="72">
        <v>3115000000</v>
      </c>
      <c r="G557" s="13" t="s">
        <v>80</v>
      </c>
      <c r="H557" s="13"/>
      <c r="I557" s="13" t="s">
        <v>545</v>
      </c>
      <c r="J557" s="13" t="s">
        <v>546</v>
      </c>
      <c r="K557" s="13" t="s">
        <v>310</v>
      </c>
      <c r="L557" s="13"/>
      <c r="M557" s="72">
        <v>3115000000</v>
      </c>
      <c r="N557" s="13" t="s">
        <v>542</v>
      </c>
      <c r="O557" s="13">
        <v>2</v>
      </c>
      <c r="P557" s="13"/>
      <c r="Q557" s="73" t="s">
        <v>548</v>
      </c>
    </row>
    <row r="558" spans="1:17" x14ac:dyDescent="0.3">
      <c r="A558" s="13" t="s">
        <v>190</v>
      </c>
      <c r="B558" s="13" t="s">
        <v>428</v>
      </c>
      <c r="C558" s="13">
        <v>2021</v>
      </c>
      <c r="D558" s="13"/>
      <c r="E558" s="13" t="s">
        <v>554</v>
      </c>
      <c r="F558" s="72">
        <v>2803000000</v>
      </c>
      <c r="G558" s="13" t="s">
        <v>80</v>
      </c>
      <c r="H558" s="13"/>
      <c r="I558" s="13" t="s">
        <v>549</v>
      </c>
      <c r="J558" s="13" t="s">
        <v>550</v>
      </c>
      <c r="K558" s="13" t="s">
        <v>310</v>
      </c>
      <c r="L558" s="13"/>
      <c r="M558" s="72">
        <v>2803000000</v>
      </c>
      <c r="N558" s="13" t="s">
        <v>546</v>
      </c>
      <c r="O558" s="13">
        <v>2</v>
      </c>
      <c r="P558" s="13"/>
      <c r="Q558" s="73" t="s">
        <v>552</v>
      </c>
    </row>
    <row r="559" spans="1:17" x14ac:dyDescent="0.3">
      <c r="A559" s="13" t="s">
        <v>190</v>
      </c>
      <c r="B559" s="13" t="s">
        <v>428</v>
      </c>
      <c r="C559" s="13">
        <v>2022</v>
      </c>
      <c r="D559" s="13"/>
      <c r="E559" s="13" t="s">
        <v>508</v>
      </c>
      <c r="F559" s="72">
        <v>4191000000</v>
      </c>
      <c r="G559" s="13" t="s">
        <v>80</v>
      </c>
      <c r="H559" s="13"/>
      <c r="I559" s="13" t="s">
        <v>555</v>
      </c>
      <c r="J559" s="13" t="s">
        <v>556</v>
      </c>
      <c r="K559" s="13" t="s">
        <v>310</v>
      </c>
      <c r="L559" s="13"/>
      <c r="M559" s="72">
        <v>4191000000</v>
      </c>
      <c r="N559" s="13" t="s">
        <v>550</v>
      </c>
      <c r="O559" s="13">
        <v>2</v>
      </c>
      <c r="P559" s="13"/>
      <c r="Q559" s="73" t="s">
        <v>558</v>
      </c>
    </row>
    <row r="560" spans="1:17" x14ac:dyDescent="0.3">
      <c r="A560" s="13" t="s">
        <v>190</v>
      </c>
      <c r="B560" s="13" t="s">
        <v>428</v>
      </c>
      <c r="C560" s="13">
        <v>2023</v>
      </c>
      <c r="D560" s="13"/>
      <c r="E560" s="13" t="s">
        <v>515</v>
      </c>
      <c r="F560" s="72">
        <v>3447000000</v>
      </c>
      <c r="G560" s="13" t="s">
        <v>80</v>
      </c>
      <c r="H560" s="13"/>
      <c r="I560" s="13" t="s">
        <v>510</v>
      </c>
      <c r="J560" s="13" t="s">
        <v>511</v>
      </c>
      <c r="K560" s="13" t="s">
        <v>310</v>
      </c>
      <c r="L560" s="13"/>
      <c r="M560" s="72">
        <v>3447000000</v>
      </c>
      <c r="N560" s="13" t="s">
        <v>556</v>
      </c>
      <c r="O560" s="13">
        <v>2</v>
      </c>
      <c r="P560" s="13"/>
      <c r="Q560" s="73" t="s">
        <v>513</v>
      </c>
    </row>
    <row r="561" spans="1:17" x14ac:dyDescent="0.3">
      <c r="A561" s="13" t="s">
        <v>190</v>
      </c>
      <c r="B561" s="13" t="s">
        <v>428</v>
      </c>
      <c r="C561" s="13">
        <v>2024</v>
      </c>
      <c r="D561" s="13"/>
      <c r="E561" s="13" t="s">
        <v>519</v>
      </c>
      <c r="F561" s="72">
        <v>2598000000</v>
      </c>
      <c r="G561" s="13" t="s">
        <v>80</v>
      </c>
      <c r="H561" s="13"/>
      <c r="I561" s="13" t="s">
        <v>176</v>
      </c>
      <c r="J561" s="13" t="s">
        <v>177</v>
      </c>
      <c r="K561" s="13" t="s">
        <v>310</v>
      </c>
      <c r="L561" s="13"/>
      <c r="M561" s="72">
        <v>2598000000</v>
      </c>
      <c r="N561" s="13" t="s">
        <v>511</v>
      </c>
      <c r="O561" s="13">
        <v>2</v>
      </c>
      <c r="P561" s="13"/>
      <c r="Q561" s="73" t="s">
        <v>517</v>
      </c>
    </row>
    <row r="562" spans="1:17" x14ac:dyDescent="0.3">
      <c r="A562" s="13" t="s">
        <v>190</v>
      </c>
      <c r="B562" s="13" t="s">
        <v>428</v>
      </c>
      <c r="C562" s="13">
        <v>2025</v>
      </c>
      <c r="D562" s="13"/>
      <c r="E562" s="13" t="s">
        <v>499</v>
      </c>
      <c r="F562" s="72">
        <v>3542000000</v>
      </c>
      <c r="G562" s="13" t="s">
        <v>80</v>
      </c>
      <c r="H562" s="13"/>
      <c r="I562" s="13" t="s">
        <v>176</v>
      </c>
      <c r="J562" s="13" t="s">
        <v>177</v>
      </c>
      <c r="K562" s="13" t="s">
        <v>310</v>
      </c>
      <c r="L562" s="13"/>
      <c r="M562" s="72">
        <v>3542000000</v>
      </c>
      <c r="N562" s="13" t="s">
        <v>177</v>
      </c>
      <c r="O562" s="13">
        <v>1</v>
      </c>
      <c r="P562" s="13"/>
      <c r="Q562" s="73" t="s">
        <v>517</v>
      </c>
    </row>
    <row r="563" spans="1:17" x14ac:dyDescent="0.3">
      <c r="A563" s="13" t="s">
        <v>190</v>
      </c>
      <c r="B563" s="13" t="s">
        <v>429</v>
      </c>
      <c r="C563" s="13">
        <v>2015</v>
      </c>
      <c r="D563" s="13"/>
      <c r="E563" s="13" t="s">
        <v>456</v>
      </c>
      <c r="F563" s="72">
        <v>38214000000</v>
      </c>
      <c r="G563" s="13" t="s">
        <v>82</v>
      </c>
      <c r="H563" s="13"/>
      <c r="I563" s="13" t="s">
        <v>575</v>
      </c>
      <c r="J563" s="13" t="s">
        <v>530</v>
      </c>
      <c r="K563" s="13" t="s">
        <v>310</v>
      </c>
      <c r="L563" s="13"/>
      <c r="M563" s="72">
        <v>38214000000</v>
      </c>
      <c r="N563" s="13" t="s">
        <v>523</v>
      </c>
      <c r="O563" s="13">
        <v>2</v>
      </c>
      <c r="P563" s="13"/>
      <c r="Q563" s="73" t="s">
        <v>576</v>
      </c>
    </row>
    <row r="564" spans="1:17" x14ac:dyDescent="0.3">
      <c r="A564" s="13" t="s">
        <v>190</v>
      </c>
      <c r="B564" s="13" t="s">
        <v>429</v>
      </c>
      <c r="C564" s="13">
        <v>2016</v>
      </c>
      <c r="D564" s="13"/>
      <c r="E564" s="13" t="s">
        <v>527</v>
      </c>
      <c r="F564" s="72">
        <v>36015000000</v>
      </c>
      <c r="G564" s="13" t="s">
        <v>82</v>
      </c>
      <c r="H564" s="13"/>
      <c r="I564" s="13" t="s">
        <v>521</v>
      </c>
      <c r="J564" s="13" t="s">
        <v>522</v>
      </c>
      <c r="K564" s="13" t="s">
        <v>310</v>
      </c>
      <c r="L564" s="13"/>
      <c r="M564" s="72">
        <v>36015000000</v>
      </c>
      <c r="N564" s="13" t="s">
        <v>530</v>
      </c>
      <c r="O564" s="13">
        <v>2</v>
      </c>
      <c r="P564" s="13"/>
      <c r="Q564" s="73" t="s">
        <v>525</v>
      </c>
    </row>
    <row r="565" spans="1:17" x14ac:dyDescent="0.3">
      <c r="A565" s="13" t="s">
        <v>190</v>
      </c>
      <c r="B565" s="13" t="s">
        <v>429</v>
      </c>
      <c r="C565" s="13">
        <v>2017</v>
      </c>
      <c r="D565" s="13"/>
      <c r="E565" s="13" t="s">
        <v>534</v>
      </c>
      <c r="F565" s="72">
        <v>30045000000</v>
      </c>
      <c r="G565" s="13" t="s">
        <v>82</v>
      </c>
      <c r="H565" s="13"/>
      <c r="I565" s="13" t="s">
        <v>528</v>
      </c>
      <c r="J565" s="13" t="s">
        <v>529</v>
      </c>
      <c r="K565" s="13" t="s">
        <v>310</v>
      </c>
      <c r="L565" s="13"/>
      <c r="M565" s="72">
        <v>30045000000</v>
      </c>
      <c r="N565" s="13" t="s">
        <v>522</v>
      </c>
      <c r="O565" s="13">
        <v>2</v>
      </c>
      <c r="P565" s="13"/>
      <c r="Q565" s="73" t="s">
        <v>532</v>
      </c>
    </row>
    <row r="566" spans="1:17" x14ac:dyDescent="0.3">
      <c r="A566" s="13" t="s">
        <v>190</v>
      </c>
      <c r="B566" s="13" t="s">
        <v>429</v>
      </c>
      <c r="C566" s="13">
        <v>2018</v>
      </c>
      <c r="D566" s="13"/>
      <c r="E566" s="13" t="s">
        <v>540</v>
      </c>
      <c r="F566" s="72">
        <v>43520000000</v>
      </c>
      <c r="G566" s="13" t="s">
        <v>82</v>
      </c>
      <c r="H566" s="13"/>
      <c r="I566" s="13" t="s">
        <v>535</v>
      </c>
      <c r="J566" s="13" t="s">
        <v>536</v>
      </c>
      <c r="K566" s="13" t="s">
        <v>310</v>
      </c>
      <c r="L566" s="13"/>
      <c r="M566" s="72">
        <v>43520000000</v>
      </c>
      <c r="N566" s="13" t="s">
        <v>529</v>
      </c>
      <c r="O566" s="13">
        <v>2</v>
      </c>
      <c r="P566" s="13"/>
      <c r="Q566" s="73" t="s">
        <v>538</v>
      </c>
    </row>
    <row r="567" spans="1:17" x14ac:dyDescent="0.3">
      <c r="A567" s="13" t="s">
        <v>190</v>
      </c>
      <c r="B567" s="13" t="s">
        <v>429</v>
      </c>
      <c r="C567" s="13">
        <v>2019</v>
      </c>
      <c r="D567" s="13"/>
      <c r="E567" s="13" t="s">
        <v>316</v>
      </c>
      <c r="F567" s="72">
        <v>43714000000</v>
      </c>
      <c r="G567" s="13" t="s">
        <v>82</v>
      </c>
      <c r="H567" s="13"/>
      <c r="I567" s="13" t="s">
        <v>541</v>
      </c>
      <c r="J567" s="13" t="s">
        <v>542</v>
      </c>
      <c r="K567" s="13" t="s">
        <v>310</v>
      </c>
      <c r="L567" s="13"/>
      <c r="M567" s="72">
        <v>43714000000</v>
      </c>
      <c r="N567" s="13" t="s">
        <v>536</v>
      </c>
      <c r="O567" s="13">
        <v>2</v>
      </c>
      <c r="P567" s="13"/>
      <c r="Q567" s="73" t="s">
        <v>544</v>
      </c>
    </row>
    <row r="568" spans="1:17" x14ac:dyDescent="0.3">
      <c r="A568" s="13" t="s">
        <v>190</v>
      </c>
      <c r="B568" s="13" t="s">
        <v>429</v>
      </c>
      <c r="C568" s="13">
        <v>2020</v>
      </c>
      <c r="D568" s="13"/>
      <c r="E568" s="13" t="s">
        <v>483</v>
      </c>
      <c r="F568" s="72">
        <v>41194000000</v>
      </c>
      <c r="G568" s="13" t="s">
        <v>82</v>
      </c>
      <c r="H568" s="13"/>
      <c r="I568" s="13" t="s">
        <v>545</v>
      </c>
      <c r="J568" s="13" t="s">
        <v>546</v>
      </c>
      <c r="K568" s="13" t="s">
        <v>310</v>
      </c>
      <c r="L568" s="13"/>
      <c r="M568" s="72">
        <v>41194000000</v>
      </c>
      <c r="N568" s="13" t="s">
        <v>542</v>
      </c>
      <c r="O568" s="13">
        <v>2</v>
      </c>
      <c r="P568" s="13"/>
      <c r="Q568" s="73" t="s">
        <v>548</v>
      </c>
    </row>
    <row r="569" spans="1:17" x14ac:dyDescent="0.3">
      <c r="A569" s="13" t="s">
        <v>190</v>
      </c>
      <c r="B569" s="13" t="s">
        <v>429</v>
      </c>
      <c r="C569" s="13">
        <v>2021</v>
      </c>
      <c r="D569" s="13"/>
      <c r="E569" s="13" t="s">
        <v>554</v>
      </c>
      <c r="F569" s="72">
        <v>34864000000</v>
      </c>
      <c r="G569" s="13" t="s">
        <v>82</v>
      </c>
      <c r="H569" s="13"/>
      <c r="I569" s="13" t="s">
        <v>549</v>
      </c>
      <c r="J569" s="13" t="s">
        <v>550</v>
      </c>
      <c r="K569" s="13" t="s">
        <v>310</v>
      </c>
      <c r="L569" s="13"/>
      <c r="M569" s="72">
        <v>34864000000</v>
      </c>
      <c r="N569" s="13" t="s">
        <v>546</v>
      </c>
      <c r="O569" s="13">
        <v>2</v>
      </c>
      <c r="P569" s="13"/>
      <c r="Q569" s="73" t="s">
        <v>552</v>
      </c>
    </row>
    <row r="570" spans="1:17" x14ac:dyDescent="0.3">
      <c r="A570" s="13" t="s">
        <v>190</v>
      </c>
      <c r="B570" s="13" t="s">
        <v>429</v>
      </c>
      <c r="C570" s="13">
        <v>2022</v>
      </c>
      <c r="D570" s="13"/>
      <c r="E570" s="13" t="s">
        <v>508</v>
      </c>
      <c r="F570" s="72">
        <v>34649000000</v>
      </c>
      <c r="G570" s="13" t="s">
        <v>82</v>
      </c>
      <c r="H570" s="13"/>
      <c r="I570" s="13" t="s">
        <v>555</v>
      </c>
      <c r="J570" s="13" t="s">
        <v>556</v>
      </c>
      <c r="K570" s="13" t="s">
        <v>310</v>
      </c>
      <c r="L570" s="13"/>
      <c r="M570" s="72">
        <v>34649000000</v>
      </c>
      <c r="N570" s="13" t="s">
        <v>550</v>
      </c>
      <c r="O570" s="13">
        <v>2</v>
      </c>
      <c r="P570" s="13"/>
      <c r="Q570" s="73" t="s">
        <v>558</v>
      </c>
    </row>
    <row r="571" spans="1:17" x14ac:dyDescent="0.3">
      <c r="A571" s="13" t="s">
        <v>190</v>
      </c>
      <c r="B571" s="13" t="s">
        <v>429</v>
      </c>
      <c r="C571" s="13">
        <v>2023</v>
      </c>
      <c r="D571" s="13"/>
      <c r="E571" s="13" t="s">
        <v>515</v>
      </c>
      <c r="F571" s="72">
        <v>36132000000</v>
      </c>
      <c r="G571" s="13" t="s">
        <v>82</v>
      </c>
      <c r="H571" s="13"/>
      <c r="I571" s="13" t="s">
        <v>510</v>
      </c>
      <c r="J571" s="13" t="s">
        <v>511</v>
      </c>
      <c r="K571" s="13" t="s">
        <v>310</v>
      </c>
      <c r="L571" s="13"/>
      <c r="M571" s="72">
        <v>36132000000</v>
      </c>
      <c r="N571" s="13" t="s">
        <v>556</v>
      </c>
      <c r="O571" s="13">
        <v>2</v>
      </c>
      <c r="P571" s="13"/>
      <c r="Q571" s="73" t="s">
        <v>513</v>
      </c>
    </row>
    <row r="572" spans="1:17" x14ac:dyDescent="0.3">
      <c r="A572" s="13" t="s">
        <v>190</v>
      </c>
      <c r="B572" s="13" t="s">
        <v>429</v>
      </c>
      <c r="C572" s="13">
        <v>2024</v>
      </c>
      <c r="D572" s="13"/>
      <c r="E572" s="13" t="s">
        <v>519</v>
      </c>
      <c r="F572" s="72">
        <v>33401000000</v>
      </c>
      <c r="G572" s="13" t="s">
        <v>82</v>
      </c>
      <c r="H572" s="13"/>
      <c r="I572" s="13" t="s">
        <v>176</v>
      </c>
      <c r="J572" s="13" t="s">
        <v>177</v>
      </c>
      <c r="K572" s="13" t="s">
        <v>310</v>
      </c>
      <c r="L572" s="13"/>
      <c r="M572" s="72">
        <v>33401000000</v>
      </c>
      <c r="N572" s="13" t="s">
        <v>511</v>
      </c>
      <c r="O572" s="13">
        <v>2</v>
      </c>
      <c r="P572" s="13"/>
      <c r="Q572" s="73" t="s">
        <v>517</v>
      </c>
    </row>
    <row r="573" spans="1:17" x14ac:dyDescent="0.3">
      <c r="A573" s="13" t="s">
        <v>190</v>
      </c>
      <c r="B573" s="13" t="s">
        <v>429</v>
      </c>
      <c r="C573" s="13">
        <v>2025</v>
      </c>
      <c r="D573" s="13"/>
      <c r="E573" s="13" t="s">
        <v>499</v>
      </c>
      <c r="F573" s="72">
        <v>34624000000</v>
      </c>
      <c r="G573" s="13" t="s">
        <v>82</v>
      </c>
      <c r="H573" s="13"/>
      <c r="I573" s="13" t="s">
        <v>176</v>
      </c>
      <c r="J573" s="13" t="s">
        <v>177</v>
      </c>
      <c r="K573" s="13" t="s">
        <v>310</v>
      </c>
      <c r="L573" s="13"/>
      <c r="M573" s="72">
        <v>34624000000</v>
      </c>
      <c r="N573" s="13" t="s">
        <v>177</v>
      </c>
      <c r="O573" s="13">
        <v>1</v>
      </c>
      <c r="P573" s="13"/>
      <c r="Q573" s="73" t="s">
        <v>517</v>
      </c>
    </row>
    <row r="574" spans="1:17" x14ac:dyDescent="0.3">
      <c r="A574" s="13" t="s">
        <v>190</v>
      </c>
      <c r="B574" s="13" t="s">
        <v>63</v>
      </c>
      <c r="C574" s="13">
        <v>2015</v>
      </c>
      <c r="D574" s="13" t="s">
        <v>452</v>
      </c>
      <c r="E574" s="13" t="s">
        <v>456</v>
      </c>
      <c r="F574" s="72">
        <v>14694000000</v>
      </c>
      <c r="G574" s="13" t="s">
        <v>64</v>
      </c>
      <c r="H574" s="13"/>
      <c r="I574" s="13" t="s">
        <v>521</v>
      </c>
      <c r="J574" s="13" t="s">
        <v>522</v>
      </c>
      <c r="K574" s="13" t="s">
        <v>310</v>
      </c>
      <c r="L574" s="13"/>
      <c r="M574" s="72">
        <v>14694000000</v>
      </c>
      <c r="N574" s="13" t="s">
        <v>523</v>
      </c>
      <c r="O574" s="13">
        <v>3</v>
      </c>
      <c r="P574" s="13"/>
      <c r="Q574" s="73" t="s">
        <v>525</v>
      </c>
    </row>
    <row r="575" spans="1:17" x14ac:dyDescent="0.3">
      <c r="A575" s="13" t="s">
        <v>190</v>
      </c>
      <c r="B575" s="13" t="s">
        <v>63</v>
      </c>
      <c r="C575" s="13">
        <v>2016</v>
      </c>
      <c r="D575" s="13" t="s">
        <v>526</v>
      </c>
      <c r="E575" s="13" t="s">
        <v>527</v>
      </c>
      <c r="F575" s="72">
        <v>13643000000</v>
      </c>
      <c r="G575" s="13" t="s">
        <v>64</v>
      </c>
      <c r="H575" s="13"/>
      <c r="I575" s="13" t="s">
        <v>528</v>
      </c>
      <c r="J575" s="13" t="s">
        <v>529</v>
      </c>
      <c r="K575" s="13" t="s">
        <v>310</v>
      </c>
      <c r="L575" s="13"/>
      <c r="M575" s="72">
        <v>13643000000</v>
      </c>
      <c r="N575" s="13" t="s">
        <v>530</v>
      </c>
      <c r="O575" s="13">
        <v>3</v>
      </c>
      <c r="P575" s="13"/>
      <c r="Q575" s="73" t="s">
        <v>532</v>
      </c>
    </row>
    <row r="576" spans="1:17" x14ac:dyDescent="0.3">
      <c r="A576" s="13" t="s">
        <v>190</v>
      </c>
      <c r="B576" s="13" t="s">
        <v>63</v>
      </c>
      <c r="C576" s="13">
        <v>2017</v>
      </c>
      <c r="D576" s="13" t="s">
        <v>533</v>
      </c>
      <c r="E576" s="13" t="s">
        <v>534</v>
      </c>
      <c r="F576" s="72">
        <v>9862000000</v>
      </c>
      <c r="G576" s="13" t="s">
        <v>64</v>
      </c>
      <c r="H576" s="13"/>
      <c r="I576" s="13" t="s">
        <v>535</v>
      </c>
      <c r="J576" s="13" t="s">
        <v>536</v>
      </c>
      <c r="K576" s="13" t="s">
        <v>310</v>
      </c>
      <c r="L576" s="13"/>
      <c r="M576" s="72">
        <v>9862000000</v>
      </c>
      <c r="N576" s="13" t="s">
        <v>522</v>
      </c>
      <c r="O576" s="13">
        <v>3</v>
      </c>
      <c r="P576" s="13"/>
      <c r="Q576" s="73" t="s">
        <v>538</v>
      </c>
    </row>
    <row r="577" spans="1:17" x14ac:dyDescent="0.3">
      <c r="A577" s="13" t="s">
        <v>190</v>
      </c>
      <c r="B577" s="13" t="s">
        <v>63</v>
      </c>
      <c r="C577" s="13">
        <v>2018</v>
      </c>
      <c r="D577" s="13" t="s">
        <v>539</v>
      </c>
      <c r="E577" s="13" t="s">
        <v>540</v>
      </c>
      <c r="F577" s="72">
        <v>6670000000</v>
      </c>
      <c r="G577" s="13" t="s">
        <v>64</v>
      </c>
      <c r="H577" s="13"/>
      <c r="I577" s="13" t="s">
        <v>541</v>
      </c>
      <c r="J577" s="13" t="s">
        <v>542</v>
      </c>
      <c r="K577" s="13" t="s">
        <v>310</v>
      </c>
      <c r="L577" s="13"/>
      <c r="M577" s="72">
        <v>6670000000</v>
      </c>
      <c r="N577" s="13" t="s">
        <v>529</v>
      </c>
      <c r="O577" s="13">
        <v>3</v>
      </c>
      <c r="P577" s="13"/>
      <c r="Q577" s="73" t="s">
        <v>544</v>
      </c>
    </row>
    <row r="578" spans="1:17" x14ac:dyDescent="0.3">
      <c r="A578" s="13" t="s">
        <v>190</v>
      </c>
      <c r="B578" s="13" t="s">
        <v>63</v>
      </c>
      <c r="C578" s="13">
        <v>2019</v>
      </c>
      <c r="D578" s="13" t="s">
        <v>309</v>
      </c>
      <c r="E578" s="13" t="s">
        <v>316</v>
      </c>
      <c r="F578" s="72">
        <v>14881000000</v>
      </c>
      <c r="G578" s="13" t="s">
        <v>64</v>
      </c>
      <c r="H578" s="13"/>
      <c r="I578" s="13" t="s">
        <v>545</v>
      </c>
      <c r="J578" s="13" t="s">
        <v>546</v>
      </c>
      <c r="K578" s="13" t="s">
        <v>310</v>
      </c>
      <c r="L578" s="13"/>
      <c r="M578" s="72">
        <v>14881000000</v>
      </c>
      <c r="N578" s="13" t="s">
        <v>536</v>
      </c>
      <c r="O578" s="13">
        <v>3</v>
      </c>
      <c r="P578" s="13"/>
      <c r="Q578" s="73" t="s">
        <v>548</v>
      </c>
    </row>
    <row r="579" spans="1:17" x14ac:dyDescent="0.3">
      <c r="A579" s="13" t="s">
        <v>190</v>
      </c>
      <c r="B579" s="13" t="s">
        <v>63</v>
      </c>
      <c r="C579" s="13">
        <v>2020</v>
      </c>
      <c r="D579" s="13" t="s">
        <v>474</v>
      </c>
      <c r="E579" s="13" t="s">
        <v>483</v>
      </c>
      <c r="F579" s="72">
        <v>13510000000</v>
      </c>
      <c r="G579" s="13" t="s">
        <v>64</v>
      </c>
      <c r="H579" s="13"/>
      <c r="I579" s="13" t="s">
        <v>549</v>
      </c>
      <c r="J579" s="13" t="s">
        <v>550</v>
      </c>
      <c r="K579" s="13" t="s">
        <v>310</v>
      </c>
      <c r="L579" s="13"/>
      <c r="M579" s="72">
        <v>13510000000</v>
      </c>
      <c r="N579" s="13" t="s">
        <v>542</v>
      </c>
      <c r="O579" s="13">
        <v>3</v>
      </c>
      <c r="P579" s="13"/>
      <c r="Q579" s="73" t="s">
        <v>552</v>
      </c>
    </row>
    <row r="580" spans="1:17" x14ac:dyDescent="0.3">
      <c r="A580" s="13" t="s">
        <v>190</v>
      </c>
      <c r="B580" s="13" t="s">
        <v>63</v>
      </c>
      <c r="C580" s="13">
        <v>2021</v>
      </c>
      <c r="D580" s="13" t="s">
        <v>553</v>
      </c>
      <c r="E580" s="13" t="s">
        <v>554</v>
      </c>
      <c r="F580" s="72">
        <v>13673000000</v>
      </c>
      <c r="G580" s="13" t="s">
        <v>64</v>
      </c>
      <c r="H580" s="13"/>
      <c r="I580" s="13" t="s">
        <v>555</v>
      </c>
      <c r="J580" s="13" t="s">
        <v>556</v>
      </c>
      <c r="K580" s="13" t="s">
        <v>310</v>
      </c>
      <c r="L580" s="13"/>
      <c r="M580" s="72">
        <v>13673000000</v>
      </c>
      <c r="N580" s="13" t="s">
        <v>546</v>
      </c>
      <c r="O580" s="13">
        <v>3</v>
      </c>
      <c r="P580" s="13"/>
      <c r="Q580" s="73" t="s">
        <v>558</v>
      </c>
    </row>
    <row r="581" spans="1:17" x14ac:dyDescent="0.3">
      <c r="A581" s="13" t="s">
        <v>190</v>
      </c>
      <c r="B581" s="13" t="s">
        <v>63</v>
      </c>
      <c r="C581" s="13">
        <v>2022</v>
      </c>
      <c r="D581" s="13" t="s">
        <v>507</v>
      </c>
      <c r="E581" s="13" t="s">
        <v>508</v>
      </c>
      <c r="F581" s="72">
        <v>11680000000</v>
      </c>
      <c r="G581" s="13" t="s">
        <v>64</v>
      </c>
      <c r="H581" s="13"/>
      <c r="I581" s="13" t="s">
        <v>510</v>
      </c>
      <c r="J581" s="13" t="s">
        <v>511</v>
      </c>
      <c r="K581" s="13" t="s">
        <v>310</v>
      </c>
      <c r="L581" s="13"/>
      <c r="M581" s="72">
        <v>11680000000</v>
      </c>
      <c r="N581" s="13" t="s">
        <v>550</v>
      </c>
      <c r="O581" s="13">
        <v>3</v>
      </c>
      <c r="P581" s="13"/>
      <c r="Q581" s="73" t="s">
        <v>513</v>
      </c>
    </row>
    <row r="582" spans="1:17" x14ac:dyDescent="0.3">
      <c r="A582" s="13" t="s">
        <v>190</v>
      </c>
      <c r="B582" s="13" t="s">
        <v>63</v>
      </c>
      <c r="C582" s="13">
        <v>2023</v>
      </c>
      <c r="D582" s="13" t="s">
        <v>514</v>
      </c>
      <c r="E582" s="13" t="s">
        <v>515</v>
      </c>
      <c r="F582" s="72">
        <v>15511000000</v>
      </c>
      <c r="G582" s="13" t="s">
        <v>64</v>
      </c>
      <c r="H582" s="13"/>
      <c r="I582" s="13" t="s">
        <v>176</v>
      </c>
      <c r="J582" s="13" t="s">
        <v>177</v>
      </c>
      <c r="K582" s="13" t="s">
        <v>310</v>
      </c>
      <c r="L582" s="13"/>
      <c r="M582" s="72">
        <v>15511000000</v>
      </c>
      <c r="N582" s="13" t="s">
        <v>556</v>
      </c>
      <c r="O582" s="13">
        <v>3</v>
      </c>
      <c r="P582" s="13"/>
      <c r="Q582" s="73" t="s">
        <v>517</v>
      </c>
    </row>
    <row r="583" spans="1:17" x14ac:dyDescent="0.3">
      <c r="A583" s="13" t="s">
        <v>190</v>
      </c>
      <c r="B583" s="13" t="s">
        <v>63</v>
      </c>
      <c r="C583" s="13">
        <v>2024</v>
      </c>
      <c r="D583" s="13" t="s">
        <v>518</v>
      </c>
      <c r="E583" s="13" t="s">
        <v>519</v>
      </c>
      <c r="F583" s="72">
        <v>19436000000</v>
      </c>
      <c r="G583" s="13" t="s">
        <v>64</v>
      </c>
      <c r="H583" s="13"/>
      <c r="I583" s="13" t="s">
        <v>176</v>
      </c>
      <c r="J583" s="13" t="s">
        <v>177</v>
      </c>
      <c r="K583" s="13" t="s">
        <v>310</v>
      </c>
      <c r="L583" s="13"/>
      <c r="M583" s="72">
        <v>19436000000</v>
      </c>
      <c r="N583" s="13" t="s">
        <v>511</v>
      </c>
      <c r="O583" s="13">
        <v>2</v>
      </c>
      <c r="P583" s="13"/>
      <c r="Q583" s="73" t="s">
        <v>517</v>
      </c>
    </row>
    <row r="584" spans="1:17" x14ac:dyDescent="0.3">
      <c r="A584" s="13" t="s">
        <v>190</v>
      </c>
      <c r="B584" s="13" t="s">
        <v>63</v>
      </c>
      <c r="C584" s="13">
        <v>2025</v>
      </c>
      <c r="D584" s="13" t="s">
        <v>497</v>
      </c>
      <c r="E584" s="13" t="s">
        <v>499</v>
      </c>
      <c r="F584" s="72">
        <v>21893000000</v>
      </c>
      <c r="G584" s="13" t="s">
        <v>64</v>
      </c>
      <c r="H584" s="13"/>
      <c r="I584" s="13" t="s">
        <v>176</v>
      </c>
      <c r="J584" s="13" t="s">
        <v>177</v>
      </c>
      <c r="K584" s="13" t="s">
        <v>310</v>
      </c>
      <c r="L584" s="13"/>
      <c r="M584" s="72">
        <v>21893000000</v>
      </c>
      <c r="N584" s="13" t="s">
        <v>177</v>
      </c>
      <c r="O584" s="13">
        <v>1</v>
      </c>
      <c r="P584" s="13"/>
      <c r="Q584" s="73" t="s">
        <v>517</v>
      </c>
    </row>
    <row r="585" spans="1:17" x14ac:dyDescent="0.3">
      <c r="A585" s="13" t="s">
        <v>190</v>
      </c>
      <c r="B585" s="13" t="s">
        <v>442</v>
      </c>
      <c r="C585" s="13">
        <v>2015</v>
      </c>
      <c r="D585" s="13" t="s">
        <v>452</v>
      </c>
      <c r="E585" s="13" t="s">
        <v>456</v>
      </c>
      <c r="F585" s="72">
        <v>24105000000</v>
      </c>
      <c r="G585" s="13" t="s">
        <v>90</v>
      </c>
      <c r="H585" s="13"/>
      <c r="I585" s="13" t="s">
        <v>521</v>
      </c>
      <c r="J585" s="13" t="s">
        <v>522</v>
      </c>
      <c r="K585" s="13" t="s">
        <v>310</v>
      </c>
      <c r="L585" s="13"/>
      <c r="M585" s="72">
        <v>24105000000</v>
      </c>
      <c r="N585" s="13" t="s">
        <v>523</v>
      </c>
      <c r="O585" s="13">
        <v>3</v>
      </c>
      <c r="P585" s="13"/>
      <c r="Q585" s="73" t="s">
        <v>525</v>
      </c>
    </row>
    <row r="586" spans="1:17" x14ac:dyDescent="0.3">
      <c r="A586" s="13" t="s">
        <v>190</v>
      </c>
      <c r="B586" s="13" t="s">
        <v>442</v>
      </c>
      <c r="C586" s="13">
        <v>2016</v>
      </c>
      <c r="D586" s="13" t="s">
        <v>526</v>
      </c>
      <c r="E586" s="13" t="s">
        <v>527</v>
      </c>
      <c r="F586" s="72">
        <v>22764000000</v>
      </c>
      <c r="G586" s="13" t="s">
        <v>90</v>
      </c>
      <c r="H586" s="13"/>
      <c r="I586" s="13" t="s">
        <v>528</v>
      </c>
      <c r="J586" s="13" t="s">
        <v>529</v>
      </c>
      <c r="K586" s="13" t="s">
        <v>310</v>
      </c>
      <c r="L586" s="13"/>
      <c r="M586" s="72">
        <v>22764000000</v>
      </c>
      <c r="N586" s="13" t="s">
        <v>530</v>
      </c>
      <c r="O586" s="13">
        <v>3</v>
      </c>
      <c r="P586" s="13"/>
      <c r="Q586" s="73" t="s">
        <v>532</v>
      </c>
    </row>
    <row r="587" spans="1:17" x14ac:dyDescent="0.3">
      <c r="A587" s="13" t="s">
        <v>190</v>
      </c>
      <c r="B587" s="13" t="s">
        <v>442</v>
      </c>
      <c r="C587" s="13">
        <v>2017</v>
      </c>
      <c r="D587" s="13" t="s">
        <v>533</v>
      </c>
      <c r="E587" s="13" t="s">
        <v>534</v>
      </c>
      <c r="F587" s="72">
        <v>20437000000</v>
      </c>
      <c r="G587" s="13" t="s">
        <v>90</v>
      </c>
      <c r="H587" s="13"/>
      <c r="I587" s="13" t="s">
        <v>535</v>
      </c>
      <c r="J587" s="13" t="s">
        <v>536</v>
      </c>
      <c r="K587" s="13" t="s">
        <v>310</v>
      </c>
      <c r="L587" s="13"/>
      <c r="M587" s="72">
        <v>20437000000</v>
      </c>
      <c r="N587" s="13" t="s">
        <v>522</v>
      </c>
      <c r="O587" s="13">
        <v>3</v>
      </c>
      <c r="P587" s="13"/>
      <c r="Q587" s="73" t="s">
        <v>538</v>
      </c>
    </row>
    <row r="588" spans="1:17" x14ac:dyDescent="0.3">
      <c r="A588" s="13" t="s">
        <v>190</v>
      </c>
      <c r="B588" s="13" t="s">
        <v>442</v>
      </c>
      <c r="C588" s="13">
        <v>2018</v>
      </c>
      <c r="D588" s="13" t="s">
        <v>539</v>
      </c>
      <c r="E588" s="13" t="s">
        <v>540</v>
      </c>
      <c r="F588" s="72">
        <v>21957000000</v>
      </c>
      <c r="G588" s="13" t="s">
        <v>90</v>
      </c>
      <c r="H588" s="13"/>
      <c r="I588" s="13" t="s">
        <v>541</v>
      </c>
      <c r="J588" s="13" t="s">
        <v>542</v>
      </c>
      <c r="K588" s="13" t="s">
        <v>310</v>
      </c>
      <c r="L588" s="13"/>
      <c r="M588" s="72">
        <v>21957000000</v>
      </c>
      <c r="N588" s="13" t="s">
        <v>529</v>
      </c>
      <c r="O588" s="13">
        <v>3</v>
      </c>
      <c r="P588" s="13"/>
      <c r="Q588" s="73" t="s">
        <v>544</v>
      </c>
    </row>
    <row r="589" spans="1:17" x14ac:dyDescent="0.3">
      <c r="A589" s="13" t="s">
        <v>190</v>
      </c>
      <c r="B589" s="13" t="s">
        <v>442</v>
      </c>
      <c r="C589" s="13">
        <v>2019</v>
      </c>
      <c r="D589" s="13" t="s">
        <v>309</v>
      </c>
      <c r="E589" s="13" t="s">
        <v>316</v>
      </c>
      <c r="F589" s="72">
        <v>20568000000</v>
      </c>
      <c r="G589" s="13" t="s">
        <v>90</v>
      </c>
      <c r="H589" s="13"/>
      <c r="I589" s="13" t="s">
        <v>545</v>
      </c>
      <c r="J589" s="13" t="s">
        <v>546</v>
      </c>
      <c r="K589" s="13" t="s">
        <v>310</v>
      </c>
      <c r="L589" s="13"/>
      <c r="M589" s="72">
        <v>20568000000</v>
      </c>
      <c r="N589" s="13" t="s">
        <v>536</v>
      </c>
      <c r="O589" s="13">
        <v>3</v>
      </c>
      <c r="P589" s="13"/>
      <c r="Q589" s="73" t="s">
        <v>548</v>
      </c>
    </row>
    <row r="590" spans="1:17" x14ac:dyDescent="0.3">
      <c r="A590" s="13" t="s">
        <v>190</v>
      </c>
      <c r="B590" s="13" t="s">
        <v>442</v>
      </c>
      <c r="C590" s="13">
        <v>2020</v>
      </c>
      <c r="D590" s="13" t="s">
        <v>474</v>
      </c>
      <c r="E590" s="13" t="s">
        <v>483</v>
      </c>
      <c r="F590" s="72">
        <v>22548000000</v>
      </c>
      <c r="G590" s="13" t="s">
        <v>90</v>
      </c>
      <c r="H590" s="13"/>
      <c r="I590" s="13" t="s">
        <v>549</v>
      </c>
      <c r="J590" s="13" t="s">
        <v>550</v>
      </c>
      <c r="K590" s="13" t="s">
        <v>310</v>
      </c>
      <c r="L590" s="13"/>
      <c r="M590" s="72">
        <v>22548000000</v>
      </c>
      <c r="N590" s="13" t="s">
        <v>542</v>
      </c>
      <c r="O590" s="13">
        <v>3</v>
      </c>
      <c r="P590" s="13"/>
      <c r="Q590" s="73" t="s">
        <v>552</v>
      </c>
    </row>
    <row r="591" spans="1:17" x14ac:dyDescent="0.3">
      <c r="A591" s="13" t="s">
        <v>190</v>
      </c>
      <c r="B591" s="13" t="s">
        <v>442</v>
      </c>
      <c r="C591" s="13">
        <v>2021</v>
      </c>
      <c r="D591" s="13" t="s">
        <v>553</v>
      </c>
      <c r="E591" s="13" t="s">
        <v>554</v>
      </c>
      <c r="F591" s="72">
        <v>25942000000</v>
      </c>
      <c r="G591" s="13" t="s">
        <v>90</v>
      </c>
      <c r="H591" s="13"/>
      <c r="I591" s="13" t="s">
        <v>555</v>
      </c>
      <c r="J591" s="13" t="s">
        <v>556</v>
      </c>
      <c r="K591" s="13" t="s">
        <v>310</v>
      </c>
      <c r="L591" s="13"/>
      <c r="M591" s="72">
        <v>25942000000</v>
      </c>
      <c r="N591" s="13" t="s">
        <v>546</v>
      </c>
      <c r="O591" s="13">
        <v>3</v>
      </c>
      <c r="P591" s="13"/>
      <c r="Q591" s="73" t="s">
        <v>558</v>
      </c>
    </row>
    <row r="592" spans="1:17" x14ac:dyDescent="0.3">
      <c r="A592" s="13" t="s">
        <v>190</v>
      </c>
      <c r="B592" s="13" t="s">
        <v>442</v>
      </c>
      <c r="C592" s="13">
        <v>2022</v>
      </c>
      <c r="D592" s="13" t="s">
        <v>507</v>
      </c>
      <c r="E592" s="13" t="s">
        <v>508</v>
      </c>
      <c r="F592" s="72">
        <v>20428000000</v>
      </c>
      <c r="G592" s="13" t="s">
        <v>90</v>
      </c>
      <c r="H592" s="13"/>
      <c r="I592" s="13" t="s">
        <v>510</v>
      </c>
      <c r="J592" s="13" t="s">
        <v>511</v>
      </c>
      <c r="K592" s="13" t="s">
        <v>310</v>
      </c>
      <c r="L592" s="13"/>
      <c r="M592" s="72">
        <v>20428000000</v>
      </c>
      <c r="N592" s="13" t="s">
        <v>550</v>
      </c>
      <c r="O592" s="13">
        <v>3</v>
      </c>
      <c r="P592" s="13"/>
      <c r="Q592" s="73" t="s">
        <v>513</v>
      </c>
    </row>
    <row r="593" spans="1:17" x14ac:dyDescent="0.3">
      <c r="A593" s="13" t="s">
        <v>190</v>
      </c>
      <c r="B593" s="13" t="s">
        <v>442</v>
      </c>
      <c r="C593" s="13">
        <v>2023</v>
      </c>
      <c r="D593" s="13" t="s">
        <v>514</v>
      </c>
      <c r="E593" s="13" t="s">
        <v>515</v>
      </c>
      <c r="F593" s="72">
        <v>27012000000</v>
      </c>
      <c r="G593" s="13" t="s">
        <v>90</v>
      </c>
      <c r="H593" s="13"/>
      <c r="I593" s="13" t="s">
        <v>176</v>
      </c>
      <c r="J593" s="13" t="s">
        <v>177</v>
      </c>
      <c r="K593" s="13" t="s">
        <v>310</v>
      </c>
      <c r="L593" s="13"/>
      <c r="M593" s="72">
        <v>27012000000</v>
      </c>
      <c r="N593" s="13" t="s">
        <v>556</v>
      </c>
      <c r="O593" s="13">
        <v>3</v>
      </c>
      <c r="P593" s="13"/>
      <c r="Q593" s="73" t="s">
        <v>517</v>
      </c>
    </row>
    <row r="594" spans="1:17" x14ac:dyDescent="0.3">
      <c r="A594" s="13" t="s">
        <v>190</v>
      </c>
      <c r="B594" s="13" t="s">
        <v>442</v>
      </c>
      <c r="C594" s="13">
        <v>2024</v>
      </c>
      <c r="D594" s="13" t="s">
        <v>518</v>
      </c>
      <c r="E594" s="13" t="s">
        <v>519</v>
      </c>
      <c r="F594" s="72">
        <v>29348000000</v>
      </c>
      <c r="G594" s="13" t="s">
        <v>90</v>
      </c>
      <c r="H594" s="13"/>
      <c r="I594" s="13" t="s">
        <v>176</v>
      </c>
      <c r="J594" s="13" t="s">
        <v>177</v>
      </c>
      <c r="K594" s="13" t="s">
        <v>310</v>
      </c>
      <c r="L594" s="13"/>
      <c r="M594" s="72">
        <v>29348000000</v>
      </c>
      <c r="N594" s="13" t="s">
        <v>511</v>
      </c>
      <c r="O594" s="13">
        <v>2</v>
      </c>
      <c r="P594" s="13"/>
      <c r="Q594" s="73" t="s">
        <v>517</v>
      </c>
    </row>
    <row r="595" spans="1:17" x14ac:dyDescent="0.3">
      <c r="A595" s="13" t="s">
        <v>190</v>
      </c>
      <c r="B595" s="13" t="s">
        <v>442</v>
      </c>
      <c r="C595" s="13">
        <v>2025</v>
      </c>
      <c r="D595" s="13" t="s">
        <v>497</v>
      </c>
      <c r="E595" s="13" t="s">
        <v>499</v>
      </c>
      <c r="F595" s="72">
        <v>29825000000</v>
      </c>
      <c r="G595" s="13" t="s">
        <v>90</v>
      </c>
      <c r="H595" s="13"/>
      <c r="I595" s="13" t="s">
        <v>176</v>
      </c>
      <c r="J595" s="13" t="s">
        <v>177</v>
      </c>
      <c r="K595" s="13" t="s">
        <v>310</v>
      </c>
      <c r="L595" s="13"/>
      <c r="M595" s="72">
        <v>29825000000</v>
      </c>
      <c r="N595" s="13" t="s">
        <v>177</v>
      </c>
      <c r="O595" s="13">
        <v>1</v>
      </c>
      <c r="P595" s="13"/>
      <c r="Q595" s="73" t="s">
        <v>517</v>
      </c>
    </row>
    <row r="596" spans="1:17" x14ac:dyDescent="0.3">
      <c r="A596" s="13" t="s">
        <v>190</v>
      </c>
      <c r="B596" s="13" t="s">
        <v>443</v>
      </c>
      <c r="C596" s="13">
        <v>2018</v>
      </c>
      <c r="D596" s="13"/>
      <c r="E596" s="13" t="s">
        <v>540</v>
      </c>
      <c r="F596" s="72">
        <v>0</v>
      </c>
      <c r="G596" s="13" t="s">
        <v>444</v>
      </c>
      <c r="H596" s="13"/>
      <c r="I596" s="13" t="s">
        <v>535</v>
      </c>
      <c r="J596" s="13" t="s">
        <v>536</v>
      </c>
      <c r="K596" s="13" t="s">
        <v>310</v>
      </c>
      <c r="L596" s="13"/>
      <c r="M596" s="72">
        <v>0</v>
      </c>
      <c r="N596" s="13" t="s">
        <v>536</v>
      </c>
      <c r="O596" s="13">
        <v>1</v>
      </c>
      <c r="P596" s="13"/>
      <c r="Q596" s="73" t="s">
        <v>538</v>
      </c>
    </row>
    <row r="597" spans="1:17" x14ac:dyDescent="0.3">
      <c r="A597" s="13" t="s">
        <v>190</v>
      </c>
      <c r="B597" s="13" t="s">
        <v>443</v>
      </c>
      <c r="C597" s="13">
        <v>2019</v>
      </c>
      <c r="D597" s="13"/>
      <c r="E597" s="13" t="s">
        <v>316</v>
      </c>
      <c r="F597" s="72">
        <v>1793000000</v>
      </c>
      <c r="G597" s="13" t="s">
        <v>444</v>
      </c>
      <c r="H597" s="13"/>
      <c r="I597" s="13" t="s">
        <v>541</v>
      </c>
      <c r="J597" s="13" t="s">
        <v>542</v>
      </c>
      <c r="K597" s="13" t="s">
        <v>310</v>
      </c>
      <c r="L597" s="13"/>
      <c r="M597" s="72">
        <v>1793000000</v>
      </c>
      <c r="N597" s="13" t="s">
        <v>536</v>
      </c>
      <c r="O597" s="13">
        <v>2</v>
      </c>
      <c r="P597" s="13"/>
      <c r="Q597" s="73" t="s">
        <v>544</v>
      </c>
    </row>
    <row r="598" spans="1:17" x14ac:dyDescent="0.3">
      <c r="A598" s="13" t="s">
        <v>190</v>
      </c>
      <c r="B598" s="13" t="s">
        <v>443</v>
      </c>
      <c r="C598" s="13">
        <v>2020</v>
      </c>
      <c r="D598" s="13"/>
      <c r="E598" s="13" t="s">
        <v>483</v>
      </c>
      <c r="F598" s="72">
        <v>1466000000</v>
      </c>
      <c r="G598" s="13" t="s">
        <v>444</v>
      </c>
      <c r="H598" s="13"/>
      <c r="I598" s="13" t="s">
        <v>545</v>
      </c>
      <c r="J598" s="13" t="s">
        <v>546</v>
      </c>
      <c r="K598" s="13" t="s">
        <v>310</v>
      </c>
      <c r="L598" s="13"/>
      <c r="M598" s="72">
        <v>1466000000</v>
      </c>
      <c r="N598" s="13" t="s">
        <v>542</v>
      </c>
      <c r="O598" s="13">
        <v>2</v>
      </c>
      <c r="P598" s="13"/>
      <c r="Q598" s="73" t="s">
        <v>548</v>
      </c>
    </row>
    <row r="599" spans="1:17" x14ac:dyDescent="0.3">
      <c r="A599" s="13" t="s">
        <v>190</v>
      </c>
      <c r="B599" s="13" t="s">
        <v>443</v>
      </c>
      <c r="C599" s="13">
        <v>2021</v>
      </c>
      <c r="D599" s="13"/>
      <c r="E599" s="13" t="s">
        <v>554</v>
      </c>
      <c r="F599" s="72">
        <v>1483000000</v>
      </c>
      <c r="G599" s="13" t="s">
        <v>444</v>
      </c>
      <c r="H599" s="13"/>
      <c r="I599" s="13" t="s">
        <v>549</v>
      </c>
      <c r="J599" s="13" t="s">
        <v>550</v>
      </c>
      <c r="K599" s="13" t="s">
        <v>310</v>
      </c>
      <c r="L599" s="13"/>
      <c r="M599" s="72">
        <v>1483000000</v>
      </c>
      <c r="N599" s="13" t="s">
        <v>546</v>
      </c>
      <c r="O599" s="13">
        <v>2</v>
      </c>
      <c r="P599" s="13"/>
      <c r="Q599" s="73" t="s">
        <v>552</v>
      </c>
    </row>
    <row r="600" spans="1:17" x14ac:dyDescent="0.3">
      <c r="A600" s="13" t="s">
        <v>190</v>
      </c>
      <c r="B600" s="13" t="s">
        <v>443</v>
      </c>
      <c r="C600" s="13">
        <v>2022</v>
      </c>
      <c r="D600" s="13"/>
      <c r="E600" s="13" t="s">
        <v>508</v>
      </c>
      <c r="F600" s="72">
        <v>1473000000</v>
      </c>
      <c r="G600" s="13" t="s">
        <v>444</v>
      </c>
      <c r="H600" s="13"/>
      <c r="I600" s="13" t="s">
        <v>555</v>
      </c>
      <c r="J600" s="13" t="s">
        <v>556</v>
      </c>
      <c r="K600" s="13" t="s">
        <v>310</v>
      </c>
      <c r="L600" s="13"/>
      <c r="M600" s="72">
        <v>1473000000</v>
      </c>
      <c r="N600" s="13" t="s">
        <v>550</v>
      </c>
      <c r="O600" s="13">
        <v>2</v>
      </c>
      <c r="P600" s="13"/>
      <c r="Q600" s="73" t="s">
        <v>558</v>
      </c>
    </row>
    <row r="601" spans="1:17" x14ac:dyDescent="0.3">
      <c r="A601" s="13" t="s">
        <v>190</v>
      </c>
      <c r="B601" s="13" t="s">
        <v>443</v>
      </c>
      <c r="C601" s="13">
        <v>2023</v>
      </c>
      <c r="D601" s="13"/>
      <c r="E601" s="13" t="s">
        <v>515</v>
      </c>
      <c r="F601" s="72">
        <v>1487000000</v>
      </c>
      <c r="G601" s="13" t="s">
        <v>444</v>
      </c>
      <c r="H601" s="13"/>
      <c r="I601" s="13" t="s">
        <v>510</v>
      </c>
      <c r="J601" s="13" t="s">
        <v>511</v>
      </c>
      <c r="K601" s="13" t="s">
        <v>310</v>
      </c>
      <c r="L601" s="13"/>
      <c r="M601" s="72">
        <v>1487000000</v>
      </c>
      <c r="N601" s="13" t="s">
        <v>556</v>
      </c>
      <c r="O601" s="13">
        <v>2</v>
      </c>
      <c r="P601" s="13"/>
      <c r="Q601" s="73" t="s">
        <v>513</v>
      </c>
    </row>
    <row r="602" spans="1:17" x14ac:dyDescent="0.3">
      <c r="A602" s="13" t="s">
        <v>190</v>
      </c>
      <c r="B602" s="13" t="s">
        <v>443</v>
      </c>
      <c r="C602" s="13">
        <v>2024</v>
      </c>
      <c r="D602" s="13"/>
      <c r="E602" s="13" t="s">
        <v>519</v>
      </c>
      <c r="F602" s="72">
        <v>1499000000</v>
      </c>
      <c r="G602" s="13" t="s">
        <v>444</v>
      </c>
      <c r="H602" s="13"/>
      <c r="I602" s="13" t="s">
        <v>176</v>
      </c>
      <c r="J602" s="13" t="s">
        <v>177</v>
      </c>
      <c r="K602" s="13" t="s">
        <v>310</v>
      </c>
      <c r="L602" s="13"/>
      <c r="M602" s="72">
        <v>1499000000</v>
      </c>
      <c r="N602" s="13" t="s">
        <v>511</v>
      </c>
      <c r="O602" s="13">
        <v>2</v>
      </c>
      <c r="P602" s="13"/>
      <c r="Q602" s="73" t="s">
        <v>517</v>
      </c>
    </row>
    <row r="603" spans="1:17" x14ac:dyDescent="0.3">
      <c r="A603" s="13" t="s">
        <v>190</v>
      </c>
      <c r="B603" s="13" t="s">
        <v>443</v>
      </c>
      <c r="C603" s="13">
        <v>2025</v>
      </c>
      <c r="D603" s="13"/>
      <c r="E603" s="13" t="s">
        <v>499</v>
      </c>
      <c r="F603" s="72">
        <v>1631000000</v>
      </c>
      <c r="G603" s="13" t="s">
        <v>444</v>
      </c>
      <c r="H603" s="13"/>
      <c r="I603" s="13" t="s">
        <v>176</v>
      </c>
      <c r="J603" s="13" t="s">
        <v>177</v>
      </c>
      <c r="K603" s="13" t="s">
        <v>310</v>
      </c>
      <c r="L603" s="13"/>
      <c r="M603" s="72">
        <v>1631000000</v>
      </c>
      <c r="N603" s="13" t="s">
        <v>177</v>
      </c>
      <c r="O603" s="13">
        <v>1</v>
      </c>
      <c r="P603" s="13"/>
      <c r="Q603" s="73" t="s">
        <v>517</v>
      </c>
    </row>
    <row r="604" spans="1:17" x14ac:dyDescent="0.3">
      <c r="A604" s="13" t="s">
        <v>190</v>
      </c>
      <c r="B604" s="13" t="s">
        <v>445</v>
      </c>
      <c r="C604" s="13">
        <v>2018</v>
      </c>
      <c r="D604" s="13"/>
      <c r="E604" s="13" t="s">
        <v>540</v>
      </c>
      <c r="F604" s="72">
        <v>0</v>
      </c>
      <c r="G604" s="13" t="s">
        <v>446</v>
      </c>
      <c r="H604" s="13"/>
      <c r="I604" s="13" t="s">
        <v>535</v>
      </c>
      <c r="J604" s="13" t="s">
        <v>536</v>
      </c>
      <c r="K604" s="13" t="s">
        <v>310</v>
      </c>
      <c r="L604" s="13"/>
      <c r="M604" s="72">
        <v>0</v>
      </c>
      <c r="N604" s="13" t="s">
        <v>536</v>
      </c>
      <c r="O604" s="13">
        <v>1</v>
      </c>
      <c r="P604" s="13"/>
      <c r="Q604" s="73" t="s">
        <v>538</v>
      </c>
    </row>
    <row r="605" spans="1:17" x14ac:dyDescent="0.3">
      <c r="A605" s="13" t="s">
        <v>190</v>
      </c>
      <c r="B605" s="13" t="s">
        <v>445</v>
      </c>
      <c r="C605" s="13">
        <v>2019</v>
      </c>
      <c r="D605" s="13"/>
      <c r="E605" s="13" t="s">
        <v>316</v>
      </c>
      <c r="F605" s="72">
        <v>16171000000</v>
      </c>
      <c r="G605" s="13" t="s">
        <v>446</v>
      </c>
      <c r="H605" s="13"/>
      <c r="I605" s="13" t="s">
        <v>541</v>
      </c>
      <c r="J605" s="13" t="s">
        <v>542</v>
      </c>
      <c r="K605" s="13" t="s">
        <v>310</v>
      </c>
      <c r="L605" s="13"/>
      <c r="M605" s="72">
        <v>16171000000</v>
      </c>
      <c r="N605" s="13" t="s">
        <v>536</v>
      </c>
      <c r="O605" s="13">
        <v>2</v>
      </c>
      <c r="P605" s="13"/>
      <c r="Q605" s="73" t="s">
        <v>544</v>
      </c>
    </row>
    <row r="606" spans="1:17" x14ac:dyDescent="0.3">
      <c r="A606" s="13" t="s">
        <v>190</v>
      </c>
      <c r="B606" s="13" t="s">
        <v>445</v>
      </c>
      <c r="C606" s="13">
        <v>2020</v>
      </c>
      <c r="D606" s="13"/>
      <c r="E606" s="13" t="s">
        <v>483</v>
      </c>
      <c r="F606" s="72">
        <v>12909000000</v>
      </c>
      <c r="G606" s="13" t="s">
        <v>446</v>
      </c>
      <c r="H606" s="13"/>
      <c r="I606" s="13" t="s">
        <v>545</v>
      </c>
      <c r="J606" s="13" t="s">
        <v>546</v>
      </c>
      <c r="K606" s="13" t="s">
        <v>310</v>
      </c>
      <c r="L606" s="13"/>
      <c r="M606" s="72">
        <v>12909000000</v>
      </c>
      <c r="N606" s="13" t="s">
        <v>542</v>
      </c>
      <c r="O606" s="13">
        <v>2</v>
      </c>
      <c r="P606" s="13"/>
      <c r="Q606" s="73" t="s">
        <v>548</v>
      </c>
    </row>
    <row r="607" spans="1:17" x14ac:dyDescent="0.3">
      <c r="A607" s="13" t="s">
        <v>190</v>
      </c>
      <c r="B607" s="13" t="s">
        <v>445</v>
      </c>
      <c r="C607" s="13">
        <v>2021</v>
      </c>
      <c r="D607" s="13"/>
      <c r="E607" s="13" t="s">
        <v>554</v>
      </c>
      <c r="F607" s="72">
        <v>13009000000</v>
      </c>
      <c r="G607" s="13" t="s">
        <v>446</v>
      </c>
      <c r="H607" s="13"/>
      <c r="I607" s="13" t="s">
        <v>549</v>
      </c>
      <c r="J607" s="13" t="s">
        <v>550</v>
      </c>
      <c r="K607" s="13" t="s">
        <v>310</v>
      </c>
      <c r="L607" s="13"/>
      <c r="M607" s="72">
        <v>13009000000</v>
      </c>
      <c r="N607" s="13" t="s">
        <v>546</v>
      </c>
      <c r="O607" s="13">
        <v>2</v>
      </c>
      <c r="P607" s="13"/>
      <c r="Q607" s="73" t="s">
        <v>552</v>
      </c>
    </row>
    <row r="608" spans="1:17" x14ac:dyDescent="0.3">
      <c r="A608" s="13" t="s">
        <v>190</v>
      </c>
      <c r="B608" s="13" t="s">
        <v>445</v>
      </c>
      <c r="C608" s="13">
        <v>2022</v>
      </c>
      <c r="D608" s="13"/>
      <c r="E608" s="13" t="s">
        <v>508</v>
      </c>
      <c r="F608" s="72">
        <v>12828000000</v>
      </c>
      <c r="G608" s="13" t="s">
        <v>446</v>
      </c>
      <c r="H608" s="13"/>
      <c r="I608" s="13" t="s">
        <v>555</v>
      </c>
      <c r="J608" s="13" t="s">
        <v>556</v>
      </c>
      <c r="K608" s="13" t="s">
        <v>310</v>
      </c>
      <c r="L608" s="13"/>
      <c r="M608" s="72">
        <v>12828000000</v>
      </c>
      <c r="N608" s="13" t="s">
        <v>550</v>
      </c>
      <c r="O608" s="13">
        <v>2</v>
      </c>
      <c r="P608" s="13"/>
      <c r="Q608" s="73" t="s">
        <v>558</v>
      </c>
    </row>
    <row r="609" spans="1:17" x14ac:dyDescent="0.3">
      <c r="A609" s="13" t="s">
        <v>190</v>
      </c>
      <c r="B609" s="13" t="s">
        <v>445</v>
      </c>
      <c r="C609" s="13">
        <v>2023</v>
      </c>
      <c r="D609" s="13"/>
      <c r="E609" s="13" t="s">
        <v>515</v>
      </c>
      <c r="F609" s="72">
        <v>12943000000</v>
      </c>
      <c r="G609" s="13" t="s">
        <v>446</v>
      </c>
      <c r="H609" s="13"/>
      <c r="I609" s="13" t="s">
        <v>510</v>
      </c>
      <c r="J609" s="13" t="s">
        <v>511</v>
      </c>
      <c r="K609" s="13" t="s">
        <v>310</v>
      </c>
      <c r="L609" s="13"/>
      <c r="M609" s="72">
        <v>12943000000</v>
      </c>
      <c r="N609" s="13" t="s">
        <v>556</v>
      </c>
      <c r="O609" s="13">
        <v>2</v>
      </c>
      <c r="P609" s="13"/>
      <c r="Q609" s="73" t="s">
        <v>513</v>
      </c>
    </row>
    <row r="610" spans="1:17" x14ac:dyDescent="0.3">
      <c r="A610" s="13" t="s">
        <v>190</v>
      </c>
      <c r="B610" s="13" t="s">
        <v>445</v>
      </c>
      <c r="C610" s="13">
        <v>2024</v>
      </c>
      <c r="D610" s="13"/>
      <c r="E610" s="13" t="s">
        <v>519</v>
      </c>
      <c r="F610" s="72">
        <v>12825000000</v>
      </c>
      <c r="G610" s="13" t="s">
        <v>446</v>
      </c>
      <c r="H610" s="13"/>
      <c r="I610" s="13" t="s">
        <v>176</v>
      </c>
      <c r="J610" s="13" t="s">
        <v>177</v>
      </c>
      <c r="K610" s="13" t="s">
        <v>310</v>
      </c>
      <c r="L610" s="13"/>
      <c r="M610" s="72">
        <v>12825000000</v>
      </c>
      <c r="N610" s="13" t="s">
        <v>511</v>
      </c>
      <c r="O610" s="13">
        <v>2</v>
      </c>
      <c r="P610" s="13"/>
      <c r="Q610" s="73" t="s">
        <v>517</v>
      </c>
    </row>
    <row r="611" spans="1:17" x14ac:dyDescent="0.3">
      <c r="A611" s="13" t="s">
        <v>190</v>
      </c>
      <c r="B611" s="13" t="s">
        <v>445</v>
      </c>
      <c r="C611" s="13">
        <v>2025</v>
      </c>
      <c r="D611" s="13"/>
      <c r="E611" s="13" t="s">
        <v>499</v>
      </c>
      <c r="F611" s="72">
        <v>13941000000</v>
      </c>
      <c r="G611" s="13" t="s">
        <v>446</v>
      </c>
      <c r="H611" s="13"/>
      <c r="I611" s="13" t="s">
        <v>176</v>
      </c>
      <c r="J611" s="13" t="s">
        <v>177</v>
      </c>
      <c r="K611" s="13" t="s">
        <v>310</v>
      </c>
      <c r="L611" s="13"/>
      <c r="M611" s="72">
        <v>13941000000</v>
      </c>
      <c r="N611" s="13" t="s">
        <v>177</v>
      </c>
      <c r="O611" s="13">
        <v>1</v>
      </c>
      <c r="P611" s="13"/>
      <c r="Q611" s="73" t="s">
        <v>517</v>
      </c>
    </row>
    <row r="612" spans="1:17" x14ac:dyDescent="0.3">
      <c r="A612" s="13" t="s">
        <v>190</v>
      </c>
      <c r="B612" s="13" t="s">
        <v>447</v>
      </c>
      <c r="C612" s="13">
        <v>2019</v>
      </c>
      <c r="D612" s="13"/>
      <c r="E612" s="13" t="s">
        <v>316</v>
      </c>
      <c r="F612" s="72">
        <v>17964000000</v>
      </c>
      <c r="G612" s="13" t="s">
        <v>129</v>
      </c>
      <c r="H612" s="13"/>
      <c r="I612" s="13" t="s">
        <v>535</v>
      </c>
      <c r="J612" s="13" t="s">
        <v>536</v>
      </c>
      <c r="K612" s="13" t="s">
        <v>310</v>
      </c>
      <c r="L612" s="13"/>
      <c r="M612" s="72">
        <v>17964000000</v>
      </c>
      <c r="N612" s="13" t="s">
        <v>536</v>
      </c>
      <c r="O612" s="13">
        <v>1</v>
      </c>
      <c r="P612" s="13"/>
      <c r="Q612" s="73" t="s">
        <v>538</v>
      </c>
    </row>
    <row r="613" spans="1:17" x14ac:dyDescent="0.3">
      <c r="A613" s="13" t="s">
        <v>190</v>
      </c>
      <c r="B613" s="13" t="s">
        <v>447</v>
      </c>
      <c r="C613" s="13">
        <v>2020</v>
      </c>
      <c r="D613" s="13"/>
      <c r="E613" s="13" t="s">
        <v>483</v>
      </c>
      <c r="F613" s="72">
        <v>14375000000</v>
      </c>
      <c r="G613" s="13" t="s">
        <v>129</v>
      </c>
      <c r="H613" s="13"/>
      <c r="I613" s="13" t="s">
        <v>541</v>
      </c>
      <c r="J613" s="13" t="s">
        <v>542</v>
      </c>
      <c r="K613" s="13" t="s">
        <v>310</v>
      </c>
      <c r="L613" s="13"/>
      <c r="M613" s="72">
        <v>14375000000</v>
      </c>
      <c r="N613" s="13" t="s">
        <v>542</v>
      </c>
      <c r="O613" s="13">
        <v>1</v>
      </c>
      <c r="P613" s="13"/>
      <c r="Q613" s="73" t="s">
        <v>544</v>
      </c>
    </row>
    <row r="614" spans="1:17" x14ac:dyDescent="0.3">
      <c r="A614" s="13" t="s">
        <v>190</v>
      </c>
      <c r="B614" s="13" t="s">
        <v>447</v>
      </c>
      <c r="C614" s="13">
        <v>2021</v>
      </c>
      <c r="D614" s="13"/>
      <c r="E614" s="13" t="s">
        <v>554</v>
      </c>
      <c r="F614" s="72">
        <v>14492000000</v>
      </c>
      <c r="G614" s="13" t="s">
        <v>129</v>
      </c>
      <c r="H614" s="13"/>
      <c r="I614" s="13" t="s">
        <v>545</v>
      </c>
      <c r="J614" s="13" t="s">
        <v>546</v>
      </c>
      <c r="K614" s="13" t="s">
        <v>310</v>
      </c>
      <c r="L614" s="13"/>
      <c r="M614" s="72">
        <v>14492000000</v>
      </c>
      <c r="N614" s="13" t="s">
        <v>546</v>
      </c>
      <c r="O614" s="13">
        <v>1</v>
      </c>
      <c r="P614" s="13"/>
      <c r="Q614" s="73" t="s">
        <v>548</v>
      </c>
    </row>
    <row r="615" spans="1:17" x14ac:dyDescent="0.3">
      <c r="A615" s="13" t="s">
        <v>190</v>
      </c>
      <c r="B615" s="13" t="s">
        <v>447</v>
      </c>
      <c r="C615" s="13">
        <v>2022</v>
      </c>
      <c r="D615" s="13"/>
      <c r="E615" s="13" t="s">
        <v>508</v>
      </c>
      <c r="F615" s="72">
        <v>14301000000</v>
      </c>
      <c r="G615" s="13" t="s">
        <v>129</v>
      </c>
      <c r="H615" s="13"/>
      <c r="I615" s="13" t="s">
        <v>549</v>
      </c>
      <c r="J615" s="13" t="s">
        <v>550</v>
      </c>
      <c r="K615" s="13" t="s">
        <v>310</v>
      </c>
      <c r="L615" s="13"/>
      <c r="M615" s="72">
        <v>14301000000</v>
      </c>
      <c r="N615" s="13" t="s">
        <v>550</v>
      </c>
      <c r="O615" s="13">
        <v>1</v>
      </c>
      <c r="P615" s="13"/>
      <c r="Q615" s="73" t="s">
        <v>552</v>
      </c>
    </row>
    <row r="616" spans="1:17" x14ac:dyDescent="0.3">
      <c r="A616" s="13" t="s">
        <v>190</v>
      </c>
      <c r="B616" s="13" t="s">
        <v>447</v>
      </c>
      <c r="C616" s="13">
        <v>2023</v>
      </c>
      <c r="D616" s="13"/>
      <c r="E616" s="13" t="s">
        <v>515</v>
      </c>
      <c r="F616" s="72">
        <v>14430000000</v>
      </c>
      <c r="G616" s="13" t="s">
        <v>129</v>
      </c>
      <c r="H616" s="13"/>
      <c r="I616" s="13" t="s">
        <v>555</v>
      </c>
      <c r="J616" s="13" t="s">
        <v>556</v>
      </c>
      <c r="K616" s="13" t="s">
        <v>310</v>
      </c>
      <c r="L616" s="13"/>
      <c r="M616" s="72">
        <v>14430000000</v>
      </c>
      <c r="N616" s="13" t="s">
        <v>556</v>
      </c>
      <c r="O616" s="13">
        <v>1</v>
      </c>
      <c r="P616" s="13"/>
      <c r="Q616" s="73" t="s">
        <v>558</v>
      </c>
    </row>
    <row r="617" spans="1:17" x14ac:dyDescent="0.3">
      <c r="A617" s="13" t="s">
        <v>190</v>
      </c>
      <c r="B617" s="13" t="s">
        <v>447</v>
      </c>
      <c r="C617" s="13">
        <v>2024</v>
      </c>
      <c r="D617" s="13"/>
      <c r="E617" s="13" t="s">
        <v>519</v>
      </c>
      <c r="F617" s="72">
        <v>14324000000</v>
      </c>
      <c r="G617" s="13" t="s">
        <v>129</v>
      </c>
      <c r="H617" s="13"/>
      <c r="I617" s="13" t="s">
        <v>510</v>
      </c>
      <c r="J617" s="13" t="s">
        <v>511</v>
      </c>
      <c r="K617" s="13" t="s">
        <v>310</v>
      </c>
      <c r="L617" s="13"/>
      <c r="M617" s="72">
        <v>14324000000</v>
      </c>
      <c r="N617" s="13" t="s">
        <v>511</v>
      </c>
      <c r="O617" s="13">
        <v>1</v>
      </c>
      <c r="P617" s="13"/>
      <c r="Q617" s="73" t="s">
        <v>513</v>
      </c>
    </row>
    <row r="618" spans="1:17" x14ac:dyDescent="0.3">
      <c r="A618" s="13" t="s">
        <v>190</v>
      </c>
      <c r="B618" s="13" t="s">
        <v>447</v>
      </c>
      <c r="C618" s="13">
        <v>2025</v>
      </c>
      <c r="D618" s="13"/>
      <c r="E618" s="13" t="s">
        <v>499</v>
      </c>
      <c r="F618" s="72">
        <v>15572000000</v>
      </c>
      <c r="G618" s="13" t="s">
        <v>129</v>
      </c>
      <c r="H618" s="13"/>
      <c r="I618" s="13" t="s">
        <v>176</v>
      </c>
      <c r="J618" s="13" t="s">
        <v>177</v>
      </c>
      <c r="K618" s="13" t="s">
        <v>310</v>
      </c>
      <c r="L618" s="13"/>
      <c r="M618" s="72">
        <v>15572000000</v>
      </c>
      <c r="N618" s="13" t="s">
        <v>177</v>
      </c>
      <c r="O618" s="13">
        <v>1</v>
      </c>
      <c r="P618" s="13"/>
      <c r="Q618" s="73" t="s">
        <v>517</v>
      </c>
    </row>
    <row r="619" spans="1:17" x14ac:dyDescent="0.3">
      <c r="A619" s="13" t="s">
        <v>190</v>
      </c>
      <c r="B619" s="13" t="s">
        <v>58</v>
      </c>
      <c r="C619" s="13">
        <v>2015</v>
      </c>
      <c r="D619" s="13" t="s">
        <v>452</v>
      </c>
      <c r="E619" s="13" t="s">
        <v>456</v>
      </c>
      <c r="F619" s="72">
        <v>478614000000</v>
      </c>
      <c r="G619" s="13" t="s">
        <v>143</v>
      </c>
      <c r="H619" s="13"/>
      <c r="I619" s="13" t="s">
        <v>521</v>
      </c>
      <c r="J619" s="13" t="s">
        <v>522</v>
      </c>
      <c r="K619" s="13" t="s">
        <v>310</v>
      </c>
      <c r="L619" s="13"/>
      <c r="M619" s="72">
        <v>478614000000</v>
      </c>
      <c r="N619" s="13" t="s">
        <v>523</v>
      </c>
      <c r="O619" s="13">
        <v>3</v>
      </c>
      <c r="P619" s="13"/>
      <c r="Q619" s="73" t="s">
        <v>525</v>
      </c>
    </row>
    <row r="620" spans="1:17" x14ac:dyDescent="0.3">
      <c r="A620" s="13" t="s">
        <v>190</v>
      </c>
      <c r="B620" s="13" t="s">
        <v>58</v>
      </c>
      <c r="C620" s="13">
        <v>2016</v>
      </c>
      <c r="D620" s="13" t="s">
        <v>526</v>
      </c>
      <c r="E620" s="13" t="s">
        <v>527</v>
      </c>
      <c r="F620" s="72">
        <v>481317000000</v>
      </c>
      <c r="G620" s="13" t="s">
        <v>451</v>
      </c>
      <c r="H620" s="13"/>
      <c r="I620" s="13" t="s">
        <v>528</v>
      </c>
      <c r="J620" s="13" t="s">
        <v>529</v>
      </c>
      <c r="K620" s="13" t="s">
        <v>310</v>
      </c>
      <c r="L620" s="13"/>
      <c r="M620" s="72">
        <v>481317000000</v>
      </c>
      <c r="N620" s="13" t="s">
        <v>529</v>
      </c>
      <c r="O620" s="13">
        <v>1</v>
      </c>
      <c r="P620" s="13"/>
      <c r="Q620" s="73" t="s">
        <v>532</v>
      </c>
    </row>
    <row r="621" spans="1:17" x14ac:dyDescent="0.3">
      <c r="A621" s="13" t="s">
        <v>190</v>
      </c>
      <c r="B621" s="13" t="s">
        <v>58</v>
      </c>
      <c r="C621" s="13">
        <v>2017</v>
      </c>
      <c r="D621" s="13" t="s">
        <v>533</v>
      </c>
      <c r="E621" s="13" t="s">
        <v>534</v>
      </c>
      <c r="F621" s="72">
        <v>495761000000</v>
      </c>
      <c r="G621" s="13" t="s">
        <v>451</v>
      </c>
      <c r="H621" s="13"/>
      <c r="I621" s="13" t="s">
        <v>535</v>
      </c>
      <c r="J621" s="13" t="s">
        <v>536</v>
      </c>
      <c r="K621" s="13" t="s">
        <v>310</v>
      </c>
      <c r="L621" s="13"/>
      <c r="M621" s="72">
        <v>495761000000</v>
      </c>
      <c r="N621" s="13" t="s">
        <v>529</v>
      </c>
      <c r="O621" s="13">
        <v>2</v>
      </c>
      <c r="P621" s="13"/>
      <c r="Q621" s="73" t="s">
        <v>538</v>
      </c>
    </row>
    <row r="622" spans="1:17" x14ac:dyDescent="0.3">
      <c r="A622" s="13" t="s">
        <v>190</v>
      </c>
      <c r="B622" s="13" t="s">
        <v>58</v>
      </c>
      <c r="C622" s="13">
        <v>2018</v>
      </c>
      <c r="D622" s="13" t="s">
        <v>539</v>
      </c>
      <c r="E622" s="13" t="s">
        <v>540</v>
      </c>
      <c r="F622" s="72">
        <v>510329000000</v>
      </c>
      <c r="G622" s="13" t="s">
        <v>451</v>
      </c>
      <c r="H622" s="13"/>
      <c r="I622" s="13" t="s">
        <v>541</v>
      </c>
      <c r="J622" s="13" t="s">
        <v>542</v>
      </c>
      <c r="K622" s="13" t="s">
        <v>310</v>
      </c>
      <c r="L622" s="13"/>
      <c r="M622" s="72">
        <v>510329000000</v>
      </c>
      <c r="N622" s="13" t="s">
        <v>529</v>
      </c>
      <c r="O622" s="13">
        <v>3</v>
      </c>
      <c r="P622" s="13"/>
      <c r="Q622" s="73" t="s">
        <v>544</v>
      </c>
    </row>
    <row r="623" spans="1:17" x14ac:dyDescent="0.3">
      <c r="A623" s="13" t="s">
        <v>190</v>
      </c>
      <c r="B623" s="13" t="s">
        <v>58</v>
      </c>
      <c r="C623" s="13">
        <v>2019</v>
      </c>
      <c r="D623" s="13" t="s">
        <v>309</v>
      </c>
      <c r="E623" s="13" t="s">
        <v>316</v>
      </c>
      <c r="F623" s="72">
        <v>519926000000</v>
      </c>
      <c r="G623" s="13" t="s">
        <v>451</v>
      </c>
      <c r="H623" s="13"/>
      <c r="I623" s="13" t="s">
        <v>545</v>
      </c>
      <c r="J623" s="13" t="s">
        <v>546</v>
      </c>
      <c r="K623" s="13" t="s">
        <v>310</v>
      </c>
      <c r="L623" s="13"/>
      <c r="M623" s="72">
        <v>519926000000</v>
      </c>
      <c r="N623" s="13" t="s">
        <v>536</v>
      </c>
      <c r="O623" s="13">
        <v>3</v>
      </c>
      <c r="P623" s="13"/>
      <c r="Q623" s="73" t="s">
        <v>548</v>
      </c>
    </row>
    <row r="624" spans="1:17" x14ac:dyDescent="0.3">
      <c r="A624" s="13" t="s">
        <v>190</v>
      </c>
      <c r="B624" s="13" t="s">
        <v>58</v>
      </c>
      <c r="C624" s="13">
        <v>2020</v>
      </c>
      <c r="D624" s="13" t="s">
        <v>474</v>
      </c>
      <c r="E624" s="13" t="s">
        <v>483</v>
      </c>
      <c r="F624" s="72">
        <v>555233000000</v>
      </c>
      <c r="G624" s="13" t="s">
        <v>451</v>
      </c>
      <c r="H624" s="13"/>
      <c r="I624" s="13" t="s">
        <v>549</v>
      </c>
      <c r="J624" s="13" t="s">
        <v>550</v>
      </c>
      <c r="K624" s="13" t="s">
        <v>310</v>
      </c>
      <c r="L624" s="13"/>
      <c r="M624" s="72">
        <v>555233000000</v>
      </c>
      <c r="N624" s="13" t="s">
        <v>542</v>
      </c>
      <c r="O624" s="13">
        <v>3</v>
      </c>
      <c r="P624" s="13"/>
      <c r="Q624" s="73" t="s">
        <v>552</v>
      </c>
    </row>
    <row r="625" spans="1:17" x14ac:dyDescent="0.3">
      <c r="A625" s="13" t="s">
        <v>190</v>
      </c>
      <c r="B625" s="13" t="s">
        <v>58</v>
      </c>
      <c r="C625" s="13">
        <v>2021</v>
      </c>
      <c r="D625" s="13" t="s">
        <v>553</v>
      </c>
      <c r="E625" s="13" t="s">
        <v>554</v>
      </c>
      <c r="F625" s="72">
        <v>567762000000</v>
      </c>
      <c r="G625" s="13" t="s">
        <v>451</v>
      </c>
      <c r="H625" s="13"/>
      <c r="I625" s="13" t="s">
        <v>555</v>
      </c>
      <c r="J625" s="13" t="s">
        <v>556</v>
      </c>
      <c r="K625" s="13" t="s">
        <v>310</v>
      </c>
      <c r="L625" s="13"/>
      <c r="M625" s="72">
        <v>567762000000</v>
      </c>
      <c r="N625" s="13" t="s">
        <v>546</v>
      </c>
      <c r="O625" s="13">
        <v>3</v>
      </c>
      <c r="P625" s="13"/>
      <c r="Q625" s="73" t="s">
        <v>558</v>
      </c>
    </row>
    <row r="626" spans="1:17" x14ac:dyDescent="0.3">
      <c r="A626" s="13" t="s">
        <v>190</v>
      </c>
      <c r="B626" s="13" t="s">
        <v>58</v>
      </c>
      <c r="C626" s="13">
        <v>2022</v>
      </c>
      <c r="D626" s="13" t="s">
        <v>507</v>
      </c>
      <c r="E626" s="13" t="s">
        <v>508</v>
      </c>
      <c r="F626" s="72">
        <v>605881000000</v>
      </c>
      <c r="G626" s="13" t="s">
        <v>451</v>
      </c>
      <c r="H626" s="13"/>
      <c r="I626" s="13" t="s">
        <v>510</v>
      </c>
      <c r="J626" s="13" t="s">
        <v>511</v>
      </c>
      <c r="K626" s="13" t="s">
        <v>310</v>
      </c>
      <c r="L626" s="13"/>
      <c r="M626" s="72">
        <v>605881000000</v>
      </c>
      <c r="N626" s="13" t="s">
        <v>550</v>
      </c>
      <c r="O626" s="13">
        <v>3</v>
      </c>
      <c r="P626" s="13"/>
      <c r="Q626" s="73" t="s">
        <v>513</v>
      </c>
    </row>
    <row r="627" spans="1:17" x14ac:dyDescent="0.3">
      <c r="A627" s="13" t="s">
        <v>190</v>
      </c>
      <c r="B627" s="13" t="s">
        <v>58</v>
      </c>
      <c r="C627" s="13">
        <v>2023</v>
      </c>
      <c r="D627" s="13" t="s">
        <v>514</v>
      </c>
      <c r="E627" s="13" t="s">
        <v>515</v>
      </c>
      <c r="F627" s="72">
        <v>642637000000</v>
      </c>
      <c r="G627" s="13" t="s">
        <v>451</v>
      </c>
      <c r="H627" s="13"/>
      <c r="I627" s="13" t="s">
        <v>176</v>
      </c>
      <c r="J627" s="13" t="s">
        <v>177</v>
      </c>
      <c r="K627" s="13" t="s">
        <v>310</v>
      </c>
      <c r="L627" s="13"/>
      <c r="M627" s="72">
        <v>642637000000</v>
      </c>
      <c r="N627" s="13" t="s">
        <v>556</v>
      </c>
      <c r="O627" s="13">
        <v>3</v>
      </c>
      <c r="P627" s="13"/>
      <c r="Q627" s="73" t="s">
        <v>517</v>
      </c>
    </row>
    <row r="628" spans="1:17" x14ac:dyDescent="0.3">
      <c r="A628" s="13" t="s">
        <v>190</v>
      </c>
      <c r="B628" s="13" t="s">
        <v>58</v>
      </c>
      <c r="C628" s="13">
        <v>2024</v>
      </c>
      <c r="D628" s="13" t="s">
        <v>518</v>
      </c>
      <c r="E628" s="13" t="s">
        <v>519</v>
      </c>
      <c r="F628" s="72">
        <v>674538000000</v>
      </c>
      <c r="G628" s="13" t="s">
        <v>451</v>
      </c>
      <c r="H628" s="13"/>
      <c r="I628" s="13" t="s">
        <v>176</v>
      </c>
      <c r="J628" s="13" t="s">
        <v>177</v>
      </c>
      <c r="K628" s="13" t="s">
        <v>310</v>
      </c>
      <c r="L628" s="13"/>
      <c r="M628" s="72">
        <v>674538000000</v>
      </c>
      <c r="N628" s="13" t="s">
        <v>511</v>
      </c>
      <c r="O628" s="13">
        <v>2</v>
      </c>
      <c r="P628" s="13"/>
      <c r="Q628" s="73" t="s">
        <v>517</v>
      </c>
    </row>
    <row r="629" spans="1:17" x14ac:dyDescent="0.3">
      <c r="A629" s="13" t="s">
        <v>190</v>
      </c>
      <c r="B629" s="13" t="s">
        <v>58</v>
      </c>
      <c r="C629" s="13">
        <v>2025</v>
      </c>
      <c r="D629" s="13" t="s">
        <v>497</v>
      </c>
      <c r="E629" s="13" t="s">
        <v>499</v>
      </c>
      <c r="F629" s="72">
        <v>706413000000</v>
      </c>
      <c r="G629" s="13" t="s">
        <v>451</v>
      </c>
      <c r="H629" s="13"/>
      <c r="I629" s="13" t="s">
        <v>176</v>
      </c>
      <c r="J629" s="13" t="s">
        <v>177</v>
      </c>
      <c r="K629" s="13" t="s">
        <v>310</v>
      </c>
      <c r="L629" s="13"/>
      <c r="M629" s="72">
        <v>706413000000</v>
      </c>
      <c r="N629" s="13" t="s">
        <v>177</v>
      </c>
      <c r="O629" s="13">
        <v>1</v>
      </c>
      <c r="P629" s="13"/>
      <c r="Q629" s="73" t="s">
        <v>517</v>
      </c>
    </row>
    <row r="630" spans="1:17" x14ac:dyDescent="0.3">
      <c r="A630" s="13" t="s">
        <v>190</v>
      </c>
      <c r="B630" s="13" t="s">
        <v>579</v>
      </c>
      <c r="C630" s="13">
        <v>2015</v>
      </c>
      <c r="D630" s="13"/>
      <c r="E630" s="13" t="s">
        <v>456</v>
      </c>
      <c r="F630" s="72">
        <v>2708000000</v>
      </c>
      <c r="G630" s="13" t="s">
        <v>77</v>
      </c>
      <c r="H630" s="13"/>
      <c r="I630" s="13" t="s">
        <v>575</v>
      </c>
      <c r="J630" s="13" t="s">
        <v>530</v>
      </c>
      <c r="K630" s="13" t="s">
        <v>310</v>
      </c>
      <c r="L630" s="13"/>
      <c r="M630" s="72">
        <v>2708000000</v>
      </c>
      <c r="N630" s="13" t="s">
        <v>523</v>
      </c>
      <c r="O630" s="13">
        <v>2</v>
      </c>
      <c r="P630" s="13"/>
      <c r="Q630" s="73" t="s">
        <v>576</v>
      </c>
    </row>
    <row r="631" spans="1:17" x14ac:dyDescent="0.3">
      <c r="A631" s="13" t="s">
        <v>190</v>
      </c>
      <c r="B631" s="13" t="s">
        <v>579</v>
      </c>
      <c r="C631" s="13">
        <v>2016</v>
      </c>
      <c r="D631" s="13"/>
      <c r="E631" s="13" t="s">
        <v>527</v>
      </c>
      <c r="F631" s="72">
        <v>1099000000</v>
      </c>
      <c r="G631" s="13" t="s">
        <v>77</v>
      </c>
      <c r="H631" s="13"/>
      <c r="I631" s="13" t="s">
        <v>521</v>
      </c>
      <c r="J631" s="13" t="s">
        <v>522</v>
      </c>
      <c r="K631" s="13" t="s">
        <v>310</v>
      </c>
      <c r="L631" s="13"/>
      <c r="M631" s="72">
        <v>1099000000</v>
      </c>
      <c r="N631" s="13" t="s">
        <v>530</v>
      </c>
      <c r="O631" s="13">
        <v>2</v>
      </c>
      <c r="P631" s="13"/>
      <c r="Q631" s="73" t="s">
        <v>525</v>
      </c>
    </row>
    <row r="632" spans="1:17" x14ac:dyDescent="0.3">
      <c r="A632" s="13" t="s">
        <v>190</v>
      </c>
      <c r="B632" s="13" t="s">
        <v>579</v>
      </c>
      <c r="C632" s="13">
        <v>2017</v>
      </c>
      <c r="D632" s="13"/>
      <c r="E632" s="13" t="s">
        <v>534</v>
      </c>
      <c r="F632" s="72">
        <v>5257000000</v>
      </c>
      <c r="G632" s="13" t="s">
        <v>77</v>
      </c>
      <c r="H632" s="13"/>
      <c r="I632" s="13" t="s">
        <v>528</v>
      </c>
      <c r="J632" s="13" t="s">
        <v>529</v>
      </c>
      <c r="K632" s="13" t="s">
        <v>310</v>
      </c>
      <c r="L632" s="13"/>
      <c r="M632" s="72">
        <v>5257000000</v>
      </c>
      <c r="N632" s="13" t="s">
        <v>522</v>
      </c>
      <c r="O632" s="13">
        <v>2</v>
      </c>
      <c r="P632" s="13"/>
      <c r="Q632" s="73" t="s">
        <v>532</v>
      </c>
    </row>
    <row r="633" spans="1:17" x14ac:dyDescent="0.3">
      <c r="A633" s="13" t="s">
        <v>190</v>
      </c>
      <c r="B633" s="13" t="s">
        <v>579</v>
      </c>
      <c r="C633" s="13">
        <v>2018</v>
      </c>
      <c r="D633" s="13"/>
      <c r="E633" s="13" t="s">
        <v>540</v>
      </c>
      <c r="F633" s="72">
        <v>5225000000</v>
      </c>
      <c r="G633" s="13" t="s">
        <v>77</v>
      </c>
      <c r="H633" s="13"/>
      <c r="I633" s="13" t="s">
        <v>535</v>
      </c>
      <c r="J633" s="13" t="s">
        <v>536</v>
      </c>
      <c r="K633" s="13" t="s">
        <v>310</v>
      </c>
      <c r="L633" s="13"/>
      <c r="M633" s="72">
        <v>5225000000</v>
      </c>
      <c r="N633" s="13" t="s">
        <v>529</v>
      </c>
      <c r="O633" s="13">
        <v>2</v>
      </c>
      <c r="P633" s="13"/>
      <c r="Q633" s="73" t="s">
        <v>538</v>
      </c>
    </row>
    <row r="634" spans="1:17" x14ac:dyDescent="0.3">
      <c r="A634" s="13" t="s">
        <v>190</v>
      </c>
      <c r="B634" s="13" t="s">
        <v>579</v>
      </c>
      <c r="C634" s="13">
        <v>2019</v>
      </c>
      <c r="D634" s="13"/>
      <c r="E634" s="13" t="s">
        <v>316</v>
      </c>
      <c r="F634" s="72">
        <v>575000000</v>
      </c>
      <c r="G634" s="13" t="s">
        <v>77</v>
      </c>
      <c r="H634" s="13"/>
      <c r="I634" s="13" t="s">
        <v>541</v>
      </c>
      <c r="J634" s="13" t="s">
        <v>542</v>
      </c>
      <c r="K634" s="13" t="s">
        <v>310</v>
      </c>
      <c r="L634" s="13"/>
      <c r="M634" s="72">
        <v>575000000</v>
      </c>
      <c r="N634" s="13" t="s">
        <v>536</v>
      </c>
      <c r="O634" s="13">
        <v>2</v>
      </c>
      <c r="P634" s="13"/>
      <c r="Q634" s="73" t="s">
        <v>544</v>
      </c>
    </row>
    <row r="635" spans="1:17" x14ac:dyDescent="0.3">
      <c r="A635" s="13" t="s">
        <v>190</v>
      </c>
      <c r="B635" s="13" t="s">
        <v>579</v>
      </c>
      <c r="C635" s="13">
        <v>2020</v>
      </c>
      <c r="D635" s="13"/>
      <c r="E635" s="13" t="s">
        <v>483</v>
      </c>
      <c r="F635" s="72">
        <v>224000000</v>
      </c>
      <c r="G635" s="13" t="s">
        <v>77</v>
      </c>
      <c r="H635" s="13"/>
      <c r="I635" s="13" t="s">
        <v>545</v>
      </c>
      <c r="J635" s="13" t="s">
        <v>546</v>
      </c>
      <c r="K635" s="13" t="s">
        <v>310</v>
      </c>
      <c r="L635" s="13"/>
      <c r="M635" s="72">
        <v>224000000</v>
      </c>
      <c r="N635" s="13" t="s">
        <v>542</v>
      </c>
      <c r="O635" s="13">
        <v>2</v>
      </c>
      <c r="P635" s="13"/>
      <c r="Q635" s="73" t="s">
        <v>548</v>
      </c>
    </row>
    <row r="636" spans="1:17" x14ac:dyDescent="0.3">
      <c r="A636" s="13" t="s">
        <v>190</v>
      </c>
      <c r="B636" s="13" t="s">
        <v>579</v>
      </c>
      <c r="C636" s="13">
        <v>2021</v>
      </c>
      <c r="D636" s="13"/>
      <c r="E636" s="13" t="s">
        <v>554</v>
      </c>
      <c r="F636" s="72">
        <v>410000000</v>
      </c>
      <c r="G636" s="13" t="s">
        <v>77</v>
      </c>
      <c r="H636" s="13"/>
      <c r="I636" s="13" t="s">
        <v>549</v>
      </c>
      <c r="J636" s="13" t="s">
        <v>550</v>
      </c>
      <c r="K636" s="13" t="s">
        <v>310</v>
      </c>
      <c r="L636" s="13"/>
      <c r="M636" s="72">
        <v>410000000</v>
      </c>
      <c r="N636" s="13" t="s">
        <v>546</v>
      </c>
      <c r="O636" s="13">
        <v>2</v>
      </c>
      <c r="P636" s="13"/>
      <c r="Q636" s="73" t="s">
        <v>552</v>
      </c>
    </row>
    <row r="637" spans="1:17" x14ac:dyDescent="0.3">
      <c r="A637" s="13" t="s">
        <v>190</v>
      </c>
      <c r="B637" s="13" t="s">
        <v>579</v>
      </c>
      <c r="C637" s="13">
        <v>2022</v>
      </c>
      <c r="D637" s="13"/>
      <c r="E637" s="13" t="s">
        <v>508</v>
      </c>
      <c r="F637" s="72">
        <v>372000000</v>
      </c>
      <c r="G637" s="13" t="s">
        <v>77</v>
      </c>
      <c r="H637" s="13"/>
      <c r="I637" s="13" t="s">
        <v>555</v>
      </c>
      <c r="J637" s="13" t="s">
        <v>556</v>
      </c>
      <c r="K637" s="13" t="s">
        <v>310</v>
      </c>
      <c r="L637" s="13"/>
      <c r="M637" s="72">
        <v>372000000</v>
      </c>
      <c r="N637" s="13" t="s">
        <v>550</v>
      </c>
      <c r="O637" s="13">
        <v>2</v>
      </c>
      <c r="P637" s="13"/>
      <c r="Q637" s="73" t="s">
        <v>558</v>
      </c>
    </row>
    <row r="638" spans="1:17" x14ac:dyDescent="0.3">
      <c r="A638" s="13" t="s">
        <v>190</v>
      </c>
      <c r="B638" s="13" t="s">
        <v>579</v>
      </c>
      <c r="C638" s="13">
        <v>2023</v>
      </c>
      <c r="D638" s="13"/>
      <c r="E638" s="13" t="s">
        <v>515</v>
      </c>
      <c r="F638" s="72">
        <v>878000000</v>
      </c>
      <c r="G638" s="13" t="s">
        <v>77</v>
      </c>
      <c r="H638" s="13"/>
      <c r="I638" s="13" t="s">
        <v>510</v>
      </c>
      <c r="J638" s="13" t="s">
        <v>511</v>
      </c>
      <c r="K638" s="13" t="s">
        <v>310</v>
      </c>
      <c r="L638" s="13"/>
      <c r="M638" s="72">
        <v>878000000</v>
      </c>
      <c r="N638" s="13" t="s">
        <v>556</v>
      </c>
      <c r="O638" s="13">
        <v>2</v>
      </c>
      <c r="P638" s="13"/>
      <c r="Q638" s="73" t="s">
        <v>513</v>
      </c>
    </row>
    <row r="639" spans="1:17" x14ac:dyDescent="0.3">
      <c r="A639" s="13" t="s">
        <v>190</v>
      </c>
      <c r="B639" s="13" t="s">
        <v>579</v>
      </c>
      <c r="C639" s="13">
        <v>2024</v>
      </c>
      <c r="D639" s="13"/>
      <c r="E639" s="13" t="s">
        <v>519</v>
      </c>
      <c r="F639" s="72">
        <v>3068000000</v>
      </c>
      <c r="G639" s="13" t="s">
        <v>77</v>
      </c>
      <c r="H639" s="13"/>
      <c r="I639" s="13" t="s">
        <v>176</v>
      </c>
      <c r="J639" s="13" t="s">
        <v>177</v>
      </c>
      <c r="K639" s="13" t="s">
        <v>310</v>
      </c>
      <c r="L639" s="13"/>
      <c r="M639" s="72">
        <v>3068000000</v>
      </c>
      <c r="N639" s="13" t="s">
        <v>511</v>
      </c>
      <c r="O639" s="13">
        <v>2</v>
      </c>
      <c r="P639" s="13"/>
      <c r="Q639" s="73" t="s">
        <v>517</v>
      </c>
    </row>
    <row r="640" spans="1:17" x14ac:dyDescent="0.3">
      <c r="A640" s="13" t="s">
        <v>190</v>
      </c>
      <c r="B640" s="13" t="s">
        <v>579</v>
      </c>
      <c r="C640" s="13">
        <v>2025</v>
      </c>
      <c r="D640" s="13"/>
      <c r="E640" s="13" t="s">
        <v>499</v>
      </c>
      <c r="F640" s="72">
        <v>6596000000</v>
      </c>
      <c r="G640" s="13" t="s">
        <v>77</v>
      </c>
      <c r="H640" s="13"/>
      <c r="I640" s="13" t="s">
        <v>176</v>
      </c>
      <c r="J640" s="13" t="s">
        <v>177</v>
      </c>
      <c r="K640" s="13" t="s">
        <v>310</v>
      </c>
      <c r="L640" s="13"/>
      <c r="M640" s="72">
        <v>6596000000</v>
      </c>
      <c r="N640" s="13" t="s">
        <v>177</v>
      </c>
      <c r="O640" s="13">
        <v>1</v>
      </c>
      <c r="P640" s="13"/>
      <c r="Q640" s="73" t="s">
        <v>517</v>
      </c>
    </row>
    <row r="641" spans="1:17" x14ac:dyDescent="0.3">
      <c r="A641" s="13" t="s">
        <v>190</v>
      </c>
      <c r="B641" s="13" t="s">
        <v>448</v>
      </c>
      <c r="C641" s="13">
        <v>2015</v>
      </c>
      <c r="D641" s="13"/>
      <c r="E641" s="13" t="s">
        <v>456</v>
      </c>
      <c r="F641" s="72">
        <v>199581000000</v>
      </c>
      <c r="G641" s="13" t="s">
        <v>96</v>
      </c>
      <c r="H641" s="13"/>
      <c r="I641" s="13" t="s">
        <v>521</v>
      </c>
      <c r="J641" s="13" t="s">
        <v>522</v>
      </c>
      <c r="K641" s="13" t="s">
        <v>310</v>
      </c>
      <c r="L641" s="13"/>
      <c r="M641" s="72">
        <v>199581000000</v>
      </c>
      <c r="N641" s="13" t="s">
        <v>523</v>
      </c>
      <c r="O641" s="13">
        <v>3</v>
      </c>
      <c r="P641" s="13"/>
      <c r="Q641" s="73" t="s">
        <v>525</v>
      </c>
    </row>
    <row r="642" spans="1:17" x14ac:dyDescent="0.3">
      <c r="A642" s="13" t="s">
        <v>190</v>
      </c>
      <c r="B642" s="13" t="s">
        <v>448</v>
      </c>
      <c r="C642" s="13">
        <v>2016</v>
      </c>
      <c r="D642" s="13"/>
      <c r="E642" s="13" t="s">
        <v>527</v>
      </c>
      <c r="F642" s="72">
        <v>198825000000</v>
      </c>
      <c r="G642" s="13" t="s">
        <v>96</v>
      </c>
      <c r="H642" s="13"/>
      <c r="I642" s="13" t="s">
        <v>528</v>
      </c>
      <c r="J642" s="13" t="s">
        <v>529</v>
      </c>
      <c r="K642" s="13" t="s">
        <v>310</v>
      </c>
      <c r="L642" s="13"/>
      <c r="M642" s="72">
        <v>198825000000</v>
      </c>
      <c r="N642" s="13" t="s">
        <v>530</v>
      </c>
      <c r="O642" s="13">
        <v>3</v>
      </c>
      <c r="P642" s="13"/>
      <c r="Q642" s="73" t="s">
        <v>532</v>
      </c>
    </row>
    <row r="643" spans="1:17" x14ac:dyDescent="0.3">
      <c r="A643" s="13" t="s">
        <v>190</v>
      </c>
      <c r="B643" s="13" t="s">
        <v>448</v>
      </c>
      <c r="C643" s="13">
        <v>2017</v>
      </c>
      <c r="D643" s="13"/>
      <c r="E643" s="13" t="s">
        <v>534</v>
      </c>
      <c r="F643" s="72">
        <v>204522000000</v>
      </c>
      <c r="G643" s="13" t="s">
        <v>96</v>
      </c>
      <c r="H643" s="13"/>
      <c r="I643" s="13" t="s">
        <v>535</v>
      </c>
      <c r="J643" s="13" t="s">
        <v>536</v>
      </c>
      <c r="K643" s="13" t="s">
        <v>310</v>
      </c>
      <c r="L643" s="13"/>
      <c r="M643" s="72">
        <v>204522000000</v>
      </c>
      <c r="N643" s="13" t="s">
        <v>522</v>
      </c>
      <c r="O643" s="13">
        <v>3</v>
      </c>
      <c r="P643" s="13"/>
      <c r="Q643" s="73" t="s">
        <v>538</v>
      </c>
    </row>
    <row r="644" spans="1:17" x14ac:dyDescent="0.3">
      <c r="A644" s="13" t="s">
        <v>190</v>
      </c>
      <c r="B644" s="13" t="s">
        <v>448</v>
      </c>
      <c r="C644" s="13">
        <v>2018</v>
      </c>
      <c r="D644" s="13"/>
      <c r="E644" s="13" t="s">
        <v>540</v>
      </c>
      <c r="F644" s="72">
        <v>219295000000</v>
      </c>
      <c r="G644" s="13" t="s">
        <v>96</v>
      </c>
      <c r="H644" s="13"/>
      <c r="I644" s="13" t="s">
        <v>541</v>
      </c>
      <c r="J644" s="13" t="s">
        <v>542</v>
      </c>
      <c r="K644" s="13" t="s">
        <v>310</v>
      </c>
      <c r="L644" s="13"/>
      <c r="M644" s="72">
        <v>219295000000</v>
      </c>
      <c r="N644" s="13" t="s">
        <v>529</v>
      </c>
      <c r="O644" s="13">
        <v>3</v>
      </c>
      <c r="P644" s="13"/>
      <c r="Q644" s="73" t="s">
        <v>544</v>
      </c>
    </row>
    <row r="645" spans="1:17" x14ac:dyDescent="0.3">
      <c r="A645" s="13" t="s">
        <v>190</v>
      </c>
      <c r="B645" s="13" t="s">
        <v>448</v>
      </c>
      <c r="C645" s="13">
        <v>2019</v>
      </c>
      <c r="D645" s="13"/>
      <c r="E645" s="13" t="s">
        <v>316</v>
      </c>
      <c r="F645" s="72">
        <v>236495000000</v>
      </c>
      <c r="G645" s="13" t="s">
        <v>96</v>
      </c>
      <c r="H645" s="13"/>
      <c r="I645" s="13" t="s">
        <v>545</v>
      </c>
      <c r="J645" s="13" t="s">
        <v>546</v>
      </c>
      <c r="K645" s="13" t="s">
        <v>310</v>
      </c>
      <c r="L645" s="13"/>
      <c r="M645" s="72">
        <v>236495000000</v>
      </c>
      <c r="N645" s="13" t="s">
        <v>536</v>
      </c>
      <c r="O645" s="13">
        <v>3</v>
      </c>
      <c r="P645" s="13"/>
      <c r="Q645" s="73" t="s">
        <v>548</v>
      </c>
    </row>
    <row r="646" spans="1:17" x14ac:dyDescent="0.3">
      <c r="A646" s="13" t="s">
        <v>190</v>
      </c>
      <c r="B646" s="13" t="s">
        <v>448</v>
      </c>
      <c r="C646" s="13">
        <v>2020</v>
      </c>
      <c r="D646" s="13"/>
      <c r="E646" s="13" t="s">
        <v>483</v>
      </c>
      <c r="F646" s="72">
        <v>252496000000</v>
      </c>
      <c r="G646" s="13" t="s">
        <v>96</v>
      </c>
      <c r="H646" s="13"/>
      <c r="I646" s="13" t="s">
        <v>549</v>
      </c>
      <c r="J646" s="13" t="s">
        <v>550</v>
      </c>
      <c r="K646" s="13" t="s">
        <v>310</v>
      </c>
      <c r="L646" s="13"/>
      <c r="M646" s="72">
        <v>252496000000</v>
      </c>
      <c r="N646" s="13" t="s">
        <v>542</v>
      </c>
      <c r="O646" s="13">
        <v>3</v>
      </c>
      <c r="P646" s="13"/>
      <c r="Q646" s="73" t="s">
        <v>552</v>
      </c>
    </row>
    <row r="647" spans="1:17" x14ac:dyDescent="0.3">
      <c r="A647" s="13" t="s">
        <v>190</v>
      </c>
      <c r="B647" s="13" t="s">
        <v>448</v>
      </c>
      <c r="C647" s="13">
        <v>2021</v>
      </c>
      <c r="D647" s="13"/>
      <c r="E647" s="13" t="s">
        <v>554</v>
      </c>
      <c r="F647" s="72">
        <v>244860000000</v>
      </c>
      <c r="G647" s="13" t="s">
        <v>96</v>
      </c>
      <c r="H647" s="13"/>
      <c r="I647" s="13" t="s">
        <v>555</v>
      </c>
      <c r="J647" s="13" t="s">
        <v>556</v>
      </c>
      <c r="K647" s="13" t="s">
        <v>310</v>
      </c>
      <c r="L647" s="13"/>
      <c r="M647" s="72">
        <v>244860000000</v>
      </c>
      <c r="N647" s="13" t="s">
        <v>546</v>
      </c>
      <c r="O647" s="13">
        <v>3</v>
      </c>
      <c r="P647" s="13"/>
      <c r="Q647" s="73" t="s">
        <v>558</v>
      </c>
    </row>
    <row r="648" spans="1:17" x14ac:dyDescent="0.3">
      <c r="A648" s="13" t="s">
        <v>190</v>
      </c>
      <c r="B648" s="13" t="s">
        <v>448</v>
      </c>
      <c r="C648" s="13">
        <v>2022</v>
      </c>
      <c r="D648" s="13"/>
      <c r="E648" s="13" t="s">
        <v>508</v>
      </c>
      <c r="F648" s="72">
        <v>243197000000</v>
      </c>
      <c r="G648" s="13" t="s">
        <v>96</v>
      </c>
      <c r="H648" s="13"/>
      <c r="I648" s="13" t="s">
        <v>510</v>
      </c>
      <c r="J648" s="13" t="s">
        <v>511</v>
      </c>
      <c r="K648" s="13" t="s">
        <v>310</v>
      </c>
      <c r="L648" s="13"/>
      <c r="M648" s="72">
        <v>243197000000</v>
      </c>
      <c r="N648" s="13" t="s">
        <v>550</v>
      </c>
      <c r="O648" s="13">
        <v>3</v>
      </c>
      <c r="P648" s="13"/>
      <c r="Q648" s="73" t="s">
        <v>513</v>
      </c>
    </row>
    <row r="649" spans="1:17" x14ac:dyDescent="0.3">
      <c r="A649" s="13" t="s">
        <v>190</v>
      </c>
      <c r="B649" s="13" t="s">
        <v>448</v>
      </c>
      <c r="C649" s="13">
        <v>2023</v>
      </c>
      <c r="D649" s="13"/>
      <c r="E649" s="13" t="s">
        <v>515</v>
      </c>
      <c r="F649" s="72">
        <v>252399000000</v>
      </c>
      <c r="G649" s="13" t="s">
        <v>96</v>
      </c>
      <c r="H649" s="13"/>
      <c r="I649" s="13" t="s">
        <v>176</v>
      </c>
      <c r="J649" s="13" t="s">
        <v>177</v>
      </c>
      <c r="K649" s="13" t="s">
        <v>310</v>
      </c>
      <c r="L649" s="13"/>
      <c r="M649" s="72">
        <v>252399000000</v>
      </c>
      <c r="N649" s="13" t="s">
        <v>556</v>
      </c>
      <c r="O649" s="13">
        <v>3</v>
      </c>
      <c r="P649" s="13"/>
      <c r="Q649" s="73" t="s">
        <v>517</v>
      </c>
    </row>
    <row r="650" spans="1:17" x14ac:dyDescent="0.3">
      <c r="A650" s="13" t="s">
        <v>190</v>
      </c>
      <c r="B650" s="13" t="s">
        <v>448</v>
      </c>
      <c r="C650" s="13">
        <v>2024</v>
      </c>
      <c r="D650" s="13"/>
      <c r="E650" s="13" t="s">
        <v>519</v>
      </c>
      <c r="F650" s="72">
        <v>260823000000</v>
      </c>
      <c r="G650" s="13" t="s">
        <v>96</v>
      </c>
      <c r="H650" s="13"/>
      <c r="I650" s="13" t="s">
        <v>176</v>
      </c>
      <c r="J650" s="13" t="s">
        <v>177</v>
      </c>
      <c r="K650" s="13" t="s">
        <v>310</v>
      </c>
      <c r="L650" s="13"/>
      <c r="M650" s="72">
        <v>260823000000</v>
      </c>
      <c r="N650" s="13" t="s">
        <v>511</v>
      </c>
      <c r="O650" s="13">
        <v>2</v>
      </c>
      <c r="P650" s="13"/>
      <c r="Q650" s="73" t="s">
        <v>517</v>
      </c>
    </row>
    <row r="651" spans="1:17" x14ac:dyDescent="0.3">
      <c r="A651" s="13" t="s">
        <v>190</v>
      </c>
      <c r="B651" s="13" t="s">
        <v>448</v>
      </c>
      <c r="C651" s="13">
        <v>2025</v>
      </c>
      <c r="D651" s="13"/>
      <c r="E651" s="13" t="s">
        <v>499</v>
      </c>
      <c r="F651" s="72">
        <v>284668000000</v>
      </c>
      <c r="G651" s="13" t="s">
        <v>96</v>
      </c>
      <c r="H651" s="13"/>
      <c r="I651" s="13" t="s">
        <v>176</v>
      </c>
      <c r="J651" s="13" t="s">
        <v>177</v>
      </c>
      <c r="K651" s="13" t="s">
        <v>310</v>
      </c>
      <c r="L651" s="13"/>
      <c r="M651" s="72">
        <v>284668000000</v>
      </c>
      <c r="N651" s="13" t="s">
        <v>177</v>
      </c>
      <c r="O651" s="13">
        <v>1</v>
      </c>
      <c r="P651" s="13"/>
      <c r="Q651" s="73" t="s">
        <v>517</v>
      </c>
    </row>
    <row r="652" spans="1:17" x14ac:dyDescent="0.3">
      <c r="A652" s="13" t="s">
        <v>190</v>
      </c>
      <c r="B652" s="13" t="s">
        <v>70</v>
      </c>
      <c r="C652" s="13">
        <v>2015</v>
      </c>
      <c r="D652" s="13"/>
      <c r="E652" s="13" t="s">
        <v>456</v>
      </c>
      <c r="F652" s="72">
        <v>83611000000</v>
      </c>
      <c r="G652" s="13" t="s">
        <v>71</v>
      </c>
      <c r="H652" s="13"/>
      <c r="I652" s="13" t="s">
        <v>528</v>
      </c>
      <c r="J652" s="13" t="s">
        <v>529</v>
      </c>
      <c r="K652" s="13" t="s">
        <v>310</v>
      </c>
      <c r="L652" s="13"/>
      <c r="M652" s="72">
        <v>83611000000</v>
      </c>
      <c r="N652" s="13" t="s">
        <v>523</v>
      </c>
      <c r="O652" s="13">
        <v>4</v>
      </c>
      <c r="P652" s="13"/>
      <c r="Q652" s="73" t="s">
        <v>532</v>
      </c>
    </row>
    <row r="653" spans="1:17" x14ac:dyDescent="0.3">
      <c r="A653" s="13" t="s">
        <v>190</v>
      </c>
      <c r="B653" s="13" t="s">
        <v>70</v>
      </c>
      <c r="C653" s="13">
        <v>2016</v>
      </c>
      <c r="D653" s="13"/>
      <c r="E653" s="13" t="s">
        <v>527</v>
      </c>
      <c r="F653" s="72">
        <v>80535000000</v>
      </c>
      <c r="G653" s="13" t="s">
        <v>71</v>
      </c>
      <c r="H653" s="13"/>
      <c r="I653" s="13" t="s">
        <v>535</v>
      </c>
      <c r="J653" s="13" t="s">
        <v>536</v>
      </c>
      <c r="K653" s="13" t="s">
        <v>310</v>
      </c>
      <c r="L653" s="13"/>
      <c r="M653" s="72">
        <v>80535000000</v>
      </c>
      <c r="N653" s="13" t="s">
        <v>530</v>
      </c>
      <c r="O653" s="13">
        <v>4</v>
      </c>
      <c r="P653" s="13"/>
      <c r="Q653" s="73" t="s">
        <v>538</v>
      </c>
    </row>
    <row r="654" spans="1:17" x14ac:dyDescent="0.3">
      <c r="A654" s="13" t="s">
        <v>190</v>
      </c>
      <c r="B654" s="13" t="s">
        <v>70</v>
      </c>
      <c r="C654" s="13">
        <v>2017</v>
      </c>
      <c r="D654" s="13"/>
      <c r="E654" s="13" t="s">
        <v>534</v>
      </c>
      <c r="F654" s="72">
        <v>80822000000</v>
      </c>
      <c r="G654" s="13" t="s">
        <v>71</v>
      </c>
      <c r="H654" s="13"/>
      <c r="I654" s="13" t="s">
        <v>541</v>
      </c>
      <c r="J654" s="13" t="s">
        <v>542</v>
      </c>
      <c r="K654" s="13" t="s">
        <v>310</v>
      </c>
      <c r="L654" s="13"/>
      <c r="M654" s="72">
        <v>80822000000</v>
      </c>
      <c r="N654" s="13" t="s">
        <v>522</v>
      </c>
      <c r="O654" s="13">
        <v>4</v>
      </c>
      <c r="P654" s="13"/>
      <c r="Q654" s="73" t="s">
        <v>544</v>
      </c>
    </row>
    <row r="655" spans="1:17" x14ac:dyDescent="0.3">
      <c r="A655" s="13" t="s">
        <v>190</v>
      </c>
      <c r="B655" s="13" t="s">
        <v>70</v>
      </c>
      <c r="C655" s="13">
        <v>2018</v>
      </c>
      <c r="D655" s="13"/>
      <c r="E655" s="13" t="s">
        <v>540</v>
      </c>
      <c r="F655" s="72">
        <v>79634000000</v>
      </c>
      <c r="G655" s="13" t="s">
        <v>71</v>
      </c>
      <c r="H655" s="13"/>
      <c r="I655" s="13" t="s">
        <v>545</v>
      </c>
      <c r="J655" s="13" t="s">
        <v>546</v>
      </c>
      <c r="K655" s="13" t="s">
        <v>310</v>
      </c>
      <c r="L655" s="13"/>
      <c r="M655" s="72">
        <v>79634000000</v>
      </c>
      <c r="N655" s="13" t="s">
        <v>529</v>
      </c>
      <c r="O655" s="13">
        <v>4</v>
      </c>
      <c r="P655" s="13"/>
      <c r="Q655" s="73" t="s">
        <v>548</v>
      </c>
    </row>
    <row r="656" spans="1:17" x14ac:dyDescent="0.3">
      <c r="A656" s="13" t="s">
        <v>190</v>
      </c>
      <c r="B656" s="13" t="s">
        <v>70</v>
      </c>
      <c r="C656" s="13">
        <v>2019</v>
      </c>
      <c r="D656" s="13"/>
      <c r="E656" s="13" t="s">
        <v>316</v>
      </c>
      <c r="F656" s="72">
        <v>81552000000</v>
      </c>
      <c r="G656" s="13" t="s">
        <v>71</v>
      </c>
      <c r="H656" s="13"/>
      <c r="I656" s="13" t="s">
        <v>549</v>
      </c>
      <c r="J656" s="13" t="s">
        <v>550</v>
      </c>
      <c r="K656" s="13" t="s">
        <v>310</v>
      </c>
      <c r="L656" s="13"/>
      <c r="M656" s="72">
        <v>81552000000</v>
      </c>
      <c r="N656" s="13" t="s">
        <v>536</v>
      </c>
      <c r="O656" s="13">
        <v>4</v>
      </c>
      <c r="P656" s="13"/>
      <c r="Q656" s="73" t="s">
        <v>552</v>
      </c>
    </row>
    <row r="657" spans="1:17" x14ac:dyDescent="0.3">
      <c r="A657" s="13" t="s">
        <v>190</v>
      </c>
      <c r="B657" s="13" t="s">
        <v>70</v>
      </c>
      <c r="C657" s="13">
        <v>2020</v>
      </c>
      <c r="D657" s="13"/>
      <c r="E657" s="13" t="s">
        <v>483</v>
      </c>
      <c r="F657" s="72">
        <v>87531000000</v>
      </c>
      <c r="G657" s="13" t="s">
        <v>71</v>
      </c>
      <c r="H657" s="13"/>
      <c r="I657" s="13" t="s">
        <v>555</v>
      </c>
      <c r="J657" s="13" t="s">
        <v>556</v>
      </c>
      <c r="K657" s="13" t="s">
        <v>310</v>
      </c>
      <c r="L657" s="13"/>
      <c r="M657" s="72">
        <v>87531000000</v>
      </c>
      <c r="N657" s="13" t="s">
        <v>542</v>
      </c>
      <c r="O657" s="13">
        <v>4</v>
      </c>
      <c r="P657" s="13"/>
      <c r="Q657" s="73" t="s">
        <v>558</v>
      </c>
    </row>
    <row r="658" spans="1:17" x14ac:dyDescent="0.3">
      <c r="A658" s="13" t="s">
        <v>190</v>
      </c>
      <c r="B658" s="13" t="s">
        <v>70</v>
      </c>
      <c r="C658" s="13">
        <v>2021</v>
      </c>
      <c r="D658" s="13"/>
      <c r="E658" s="13" t="s">
        <v>554</v>
      </c>
      <c r="F658" s="72">
        <v>91891000000</v>
      </c>
      <c r="G658" s="13" t="s">
        <v>71</v>
      </c>
      <c r="H658" s="13"/>
      <c r="I658" s="13" t="s">
        <v>510</v>
      </c>
      <c r="J658" s="13" t="s">
        <v>511</v>
      </c>
      <c r="K658" s="13" t="s">
        <v>310</v>
      </c>
      <c r="L658" s="13"/>
      <c r="M658" s="72">
        <v>91891000000</v>
      </c>
      <c r="N658" s="13" t="s">
        <v>546</v>
      </c>
      <c r="O658" s="13">
        <v>4</v>
      </c>
      <c r="P658" s="13"/>
      <c r="Q658" s="73" t="s">
        <v>513</v>
      </c>
    </row>
    <row r="659" spans="1:17" x14ac:dyDescent="0.3">
      <c r="A659" s="13" t="s">
        <v>190</v>
      </c>
      <c r="B659" s="13" t="s">
        <v>70</v>
      </c>
      <c r="C659" s="13">
        <v>2022</v>
      </c>
      <c r="D659" s="13"/>
      <c r="E659" s="13" t="s">
        <v>508</v>
      </c>
      <c r="F659" s="72">
        <v>83754000000</v>
      </c>
      <c r="G659" s="13" t="s">
        <v>71</v>
      </c>
      <c r="H659" s="13"/>
      <c r="I659" s="13" t="s">
        <v>176</v>
      </c>
      <c r="J659" s="13" t="s">
        <v>177</v>
      </c>
      <c r="K659" s="13" t="s">
        <v>310</v>
      </c>
      <c r="L659" s="13"/>
      <c r="M659" s="72">
        <v>83754000000</v>
      </c>
      <c r="N659" s="13" t="s">
        <v>550</v>
      </c>
      <c r="O659" s="13">
        <v>4</v>
      </c>
      <c r="P659" s="13"/>
      <c r="Q659" s="73" t="s">
        <v>517</v>
      </c>
    </row>
    <row r="660" spans="1:17" x14ac:dyDescent="0.3">
      <c r="A660" s="13" t="s">
        <v>190</v>
      </c>
      <c r="B660" s="13" t="s">
        <v>70</v>
      </c>
      <c r="C660" s="13">
        <v>2023</v>
      </c>
      <c r="D660" s="13"/>
      <c r="E660" s="13" t="s">
        <v>515</v>
      </c>
      <c r="F660" s="72">
        <v>90349000000</v>
      </c>
      <c r="G660" s="13" t="s">
        <v>71</v>
      </c>
      <c r="H660" s="13"/>
      <c r="I660" s="13" t="s">
        <v>176</v>
      </c>
      <c r="J660" s="13" t="s">
        <v>177</v>
      </c>
      <c r="K660" s="13" t="s">
        <v>310</v>
      </c>
      <c r="L660" s="13"/>
      <c r="M660" s="72">
        <v>90349000000</v>
      </c>
      <c r="N660" s="13" t="s">
        <v>556</v>
      </c>
      <c r="O660" s="13">
        <v>3</v>
      </c>
      <c r="P660" s="13"/>
      <c r="Q660" s="73" t="s">
        <v>517</v>
      </c>
    </row>
    <row r="661" spans="1:17" x14ac:dyDescent="0.3">
      <c r="A661" s="13" t="s">
        <v>190</v>
      </c>
      <c r="B661" s="13" t="s">
        <v>70</v>
      </c>
      <c r="C661" s="13">
        <v>2024</v>
      </c>
      <c r="D661" s="13"/>
      <c r="E661" s="13" t="s">
        <v>519</v>
      </c>
      <c r="F661" s="72">
        <v>97421000000</v>
      </c>
      <c r="G661" s="13" t="s">
        <v>71</v>
      </c>
      <c r="H661" s="13"/>
      <c r="I661" s="13" t="s">
        <v>176</v>
      </c>
      <c r="J661" s="13" t="s">
        <v>177</v>
      </c>
      <c r="K661" s="13" t="s">
        <v>310</v>
      </c>
      <c r="L661" s="13"/>
      <c r="M661" s="72">
        <v>97421000000</v>
      </c>
      <c r="N661" s="13" t="s">
        <v>511</v>
      </c>
      <c r="O661" s="13">
        <v>2</v>
      </c>
      <c r="P661" s="13"/>
      <c r="Q661" s="73" t="s">
        <v>517</v>
      </c>
    </row>
    <row r="662" spans="1:17" x14ac:dyDescent="0.3">
      <c r="A662" s="13" t="s">
        <v>190</v>
      </c>
      <c r="B662" s="13" t="s">
        <v>70</v>
      </c>
      <c r="C662" s="13">
        <v>2025</v>
      </c>
      <c r="D662" s="13"/>
      <c r="E662" s="13" t="s">
        <v>499</v>
      </c>
      <c r="F662" s="72">
        <v>105887000000</v>
      </c>
      <c r="G662" s="13" t="s">
        <v>71</v>
      </c>
      <c r="H662" s="13"/>
      <c r="I662" s="13" t="s">
        <v>176</v>
      </c>
      <c r="J662" s="13" t="s">
        <v>177</v>
      </c>
      <c r="K662" s="13" t="s">
        <v>310</v>
      </c>
      <c r="L662" s="13"/>
      <c r="M662" s="72">
        <v>105887000000</v>
      </c>
      <c r="N662" s="13" t="s">
        <v>177</v>
      </c>
      <c r="O662" s="13">
        <v>1</v>
      </c>
      <c r="P662" s="13"/>
      <c r="Q662" s="73" t="s">
        <v>517</v>
      </c>
    </row>
  </sheetData>
  <autoFilter ref="A4:Q662" xr:uid="{00000000-0009-0000-0000-000007000000}"/>
  <hyperlinks>
    <hyperlink ref="Q5" r:id="rId1" xr:uid="{00000000-0004-0000-0700-000000000000}"/>
    <hyperlink ref="Q6" r:id="rId2" xr:uid="{00000000-0004-0000-0700-000001000000}"/>
    <hyperlink ref="Q7" r:id="rId3" xr:uid="{00000000-0004-0000-0700-000002000000}"/>
    <hyperlink ref="Q8" r:id="rId4" xr:uid="{00000000-0004-0000-0700-000003000000}"/>
    <hyperlink ref="Q9" r:id="rId5" xr:uid="{00000000-0004-0000-0700-000004000000}"/>
    <hyperlink ref="Q10" r:id="rId6" xr:uid="{00000000-0004-0000-0700-000005000000}"/>
    <hyperlink ref="Q11" r:id="rId7" xr:uid="{00000000-0004-0000-0700-000006000000}"/>
    <hyperlink ref="Q12" r:id="rId8" xr:uid="{00000000-0004-0000-0700-000007000000}"/>
    <hyperlink ref="Q13" r:id="rId9" xr:uid="{00000000-0004-0000-0700-000008000000}"/>
    <hyperlink ref="Q14" r:id="rId10" xr:uid="{00000000-0004-0000-0700-000009000000}"/>
    <hyperlink ref="Q15" r:id="rId11" xr:uid="{00000000-0004-0000-0700-00000A000000}"/>
    <hyperlink ref="Q16" r:id="rId12" xr:uid="{00000000-0004-0000-0700-00000B000000}"/>
    <hyperlink ref="Q17" r:id="rId13" xr:uid="{00000000-0004-0000-0700-00000C000000}"/>
    <hyperlink ref="Q18" r:id="rId14" xr:uid="{00000000-0004-0000-0700-00000D000000}"/>
    <hyperlink ref="Q19" r:id="rId15" xr:uid="{00000000-0004-0000-0700-00000E000000}"/>
    <hyperlink ref="Q20" r:id="rId16" xr:uid="{00000000-0004-0000-0700-00000F000000}"/>
    <hyperlink ref="Q21" r:id="rId17" xr:uid="{00000000-0004-0000-0700-000010000000}"/>
    <hyperlink ref="Q22" r:id="rId18" xr:uid="{00000000-0004-0000-0700-000011000000}"/>
    <hyperlink ref="Q23" r:id="rId19" xr:uid="{00000000-0004-0000-0700-000012000000}"/>
    <hyperlink ref="Q24" r:id="rId20" xr:uid="{00000000-0004-0000-0700-000013000000}"/>
    <hyperlink ref="Q25" r:id="rId21" xr:uid="{00000000-0004-0000-0700-000014000000}"/>
    <hyperlink ref="Q26" r:id="rId22" xr:uid="{00000000-0004-0000-0700-000015000000}"/>
    <hyperlink ref="Q27" r:id="rId23" xr:uid="{00000000-0004-0000-0700-000016000000}"/>
    <hyperlink ref="Q28" r:id="rId24" xr:uid="{00000000-0004-0000-0700-000017000000}"/>
    <hyperlink ref="Q29" r:id="rId25" xr:uid="{00000000-0004-0000-0700-000018000000}"/>
    <hyperlink ref="Q30" r:id="rId26" xr:uid="{00000000-0004-0000-0700-000019000000}"/>
    <hyperlink ref="Q31" r:id="rId27" xr:uid="{00000000-0004-0000-0700-00001A000000}"/>
    <hyperlink ref="Q32" r:id="rId28" xr:uid="{00000000-0004-0000-0700-00001B000000}"/>
    <hyperlink ref="Q33" r:id="rId29" xr:uid="{00000000-0004-0000-0700-00001C000000}"/>
    <hyperlink ref="Q34" r:id="rId30" xr:uid="{00000000-0004-0000-0700-00001D000000}"/>
    <hyperlink ref="Q35" r:id="rId31" xr:uid="{00000000-0004-0000-0700-00001E000000}"/>
    <hyperlink ref="Q36" r:id="rId32" xr:uid="{00000000-0004-0000-0700-00001F000000}"/>
    <hyperlink ref="Q37" r:id="rId33" xr:uid="{00000000-0004-0000-0700-000020000000}"/>
    <hyperlink ref="Q38" r:id="rId34" xr:uid="{00000000-0004-0000-0700-000021000000}"/>
    <hyperlink ref="Q39" r:id="rId35" xr:uid="{00000000-0004-0000-0700-000022000000}"/>
    <hyperlink ref="Q40" r:id="rId36" xr:uid="{00000000-0004-0000-0700-000023000000}"/>
    <hyperlink ref="Q41" r:id="rId37" xr:uid="{00000000-0004-0000-0700-000024000000}"/>
    <hyperlink ref="Q42" r:id="rId38" xr:uid="{00000000-0004-0000-0700-000025000000}"/>
    <hyperlink ref="Q43" r:id="rId39" xr:uid="{00000000-0004-0000-0700-000026000000}"/>
    <hyperlink ref="Q44" r:id="rId40" xr:uid="{00000000-0004-0000-0700-000027000000}"/>
    <hyperlink ref="Q45" r:id="rId41" xr:uid="{00000000-0004-0000-0700-000028000000}"/>
    <hyperlink ref="Q46" r:id="rId42" xr:uid="{00000000-0004-0000-0700-000029000000}"/>
    <hyperlink ref="Q47" r:id="rId43" xr:uid="{00000000-0004-0000-0700-00002A000000}"/>
    <hyperlink ref="Q48" r:id="rId44" xr:uid="{00000000-0004-0000-0700-00002B000000}"/>
    <hyperlink ref="Q49" r:id="rId45" xr:uid="{00000000-0004-0000-0700-00002C000000}"/>
    <hyperlink ref="Q50" r:id="rId46" xr:uid="{00000000-0004-0000-0700-00002D000000}"/>
    <hyperlink ref="Q51" r:id="rId47" xr:uid="{00000000-0004-0000-0700-00002E000000}"/>
    <hyperlink ref="Q52" r:id="rId48" xr:uid="{00000000-0004-0000-0700-00002F000000}"/>
    <hyperlink ref="Q53" r:id="rId49" xr:uid="{00000000-0004-0000-0700-000030000000}"/>
    <hyperlink ref="Q54" r:id="rId50" xr:uid="{00000000-0004-0000-0700-000031000000}"/>
    <hyperlink ref="Q55" r:id="rId51" xr:uid="{00000000-0004-0000-0700-000032000000}"/>
    <hyperlink ref="Q56" r:id="rId52" xr:uid="{00000000-0004-0000-0700-000033000000}"/>
    <hyperlink ref="Q57" r:id="rId53" xr:uid="{00000000-0004-0000-0700-000034000000}"/>
    <hyperlink ref="Q58" r:id="rId54" xr:uid="{00000000-0004-0000-0700-000035000000}"/>
    <hyperlink ref="Q59" r:id="rId55" xr:uid="{00000000-0004-0000-0700-000036000000}"/>
    <hyperlink ref="Q60" r:id="rId56" xr:uid="{00000000-0004-0000-0700-000037000000}"/>
    <hyperlink ref="Q61" r:id="rId57" xr:uid="{00000000-0004-0000-0700-000038000000}"/>
    <hyperlink ref="Q62" r:id="rId58" xr:uid="{00000000-0004-0000-0700-000039000000}"/>
    <hyperlink ref="Q63" r:id="rId59" xr:uid="{00000000-0004-0000-0700-00003A000000}"/>
    <hyperlink ref="Q64" r:id="rId60" xr:uid="{00000000-0004-0000-0700-00003B000000}"/>
    <hyperlink ref="Q65" r:id="rId61" xr:uid="{00000000-0004-0000-0700-00003C000000}"/>
    <hyperlink ref="Q66" r:id="rId62" xr:uid="{00000000-0004-0000-0700-00003D000000}"/>
    <hyperlink ref="Q67" r:id="rId63" xr:uid="{00000000-0004-0000-0700-00003E000000}"/>
    <hyperlink ref="Q68" r:id="rId64" xr:uid="{00000000-0004-0000-0700-00003F000000}"/>
    <hyperlink ref="Q69" r:id="rId65" xr:uid="{00000000-0004-0000-0700-000040000000}"/>
    <hyperlink ref="Q70" r:id="rId66" xr:uid="{00000000-0004-0000-0700-000041000000}"/>
    <hyperlink ref="Q71" r:id="rId67" xr:uid="{00000000-0004-0000-0700-000042000000}"/>
    <hyperlink ref="Q72" r:id="rId68" xr:uid="{00000000-0004-0000-0700-000043000000}"/>
    <hyperlink ref="Q73" r:id="rId69" xr:uid="{00000000-0004-0000-0700-000044000000}"/>
    <hyperlink ref="Q74" r:id="rId70" xr:uid="{00000000-0004-0000-0700-000045000000}"/>
    <hyperlink ref="Q75" r:id="rId71" xr:uid="{00000000-0004-0000-0700-000046000000}"/>
    <hyperlink ref="Q76" r:id="rId72" xr:uid="{00000000-0004-0000-0700-000047000000}"/>
    <hyperlink ref="Q77" r:id="rId73" xr:uid="{00000000-0004-0000-0700-000048000000}"/>
    <hyperlink ref="Q78" r:id="rId74" xr:uid="{00000000-0004-0000-0700-000049000000}"/>
    <hyperlink ref="Q79" r:id="rId75" xr:uid="{00000000-0004-0000-0700-00004A000000}"/>
    <hyperlink ref="Q80" r:id="rId76" xr:uid="{00000000-0004-0000-0700-00004B000000}"/>
    <hyperlink ref="Q81" r:id="rId77" xr:uid="{00000000-0004-0000-0700-00004C000000}"/>
    <hyperlink ref="Q82" r:id="rId78" xr:uid="{00000000-0004-0000-0700-00004D000000}"/>
    <hyperlink ref="Q83" r:id="rId79" xr:uid="{00000000-0004-0000-0700-00004E000000}"/>
    <hyperlink ref="Q84" r:id="rId80" xr:uid="{00000000-0004-0000-0700-00004F000000}"/>
    <hyperlink ref="Q85" r:id="rId81" xr:uid="{00000000-0004-0000-0700-000050000000}"/>
    <hyperlink ref="Q86" r:id="rId82" xr:uid="{00000000-0004-0000-0700-000051000000}"/>
    <hyperlink ref="Q87" r:id="rId83" xr:uid="{00000000-0004-0000-0700-000052000000}"/>
    <hyperlink ref="Q88" r:id="rId84" xr:uid="{00000000-0004-0000-0700-000053000000}"/>
    <hyperlink ref="Q89" r:id="rId85" xr:uid="{00000000-0004-0000-0700-000054000000}"/>
    <hyperlink ref="Q90" r:id="rId86" xr:uid="{00000000-0004-0000-0700-000055000000}"/>
    <hyperlink ref="Q91" r:id="rId87" xr:uid="{00000000-0004-0000-0700-000056000000}"/>
    <hyperlink ref="Q92" r:id="rId88" xr:uid="{00000000-0004-0000-0700-000057000000}"/>
    <hyperlink ref="Q93" r:id="rId89" xr:uid="{00000000-0004-0000-0700-000058000000}"/>
    <hyperlink ref="Q94" r:id="rId90" xr:uid="{00000000-0004-0000-0700-000059000000}"/>
    <hyperlink ref="Q95" r:id="rId91" xr:uid="{00000000-0004-0000-0700-00005A000000}"/>
    <hyperlink ref="Q96" r:id="rId92" xr:uid="{00000000-0004-0000-0700-00005B000000}"/>
    <hyperlink ref="Q97" r:id="rId93" xr:uid="{00000000-0004-0000-0700-00005C000000}"/>
    <hyperlink ref="Q98" r:id="rId94" xr:uid="{00000000-0004-0000-0700-00005D000000}"/>
    <hyperlink ref="Q99" r:id="rId95" xr:uid="{00000000-0004-0000-0700-00005E000000}"/>
    <hyperlink ref="Q100" r:id="rId96" xr:uid="{00000000-0004-0000-0700-00005F000000}"/>
    <hyperlink ref="Q101" r:id="rId97" xr:uid="{00000000-0004-0000-0700-000060000000}"/>
    <hyperlink ref="Q102" r:id="rId98" xr:uid="{00000000-0004-0000-0700-000061000000}"/>
    <hyperlink ref="Q103" r:id="rId99" xr:uid="{00000000-0004-0000-0700-000062000000}"/>
    <hyperlink ref="Q104" r:id="rId100" xr:uid="{00000000-0004-0000-0700-000063000000}"/>
    <hyperlink ref="Q105" r:id="rId101" xr:uid="{00000000-0004-0000-0700-000064000000}"/>
    <hyperlink ref="Q106" r:id="rId102" xr:uid="{00000000-0004-0000-0700-000065000000}"/>
    <hyperlink ref="Q107" r:id="rId103" xr:uid="{00000000-0004-0000-0700-000066000000}"/>
    <hyperlink ref="Q108" r:id="rId104" xr:uid="{00000000-0004-0000-0700-000067000000}"/>
    <hyperlink ref="Q109" r:id="rId105" xr:uid="{00000000-0004-0000-0700-000068000000}"/>
    <hyperlink ref="Q110" r:id="rId106" xr:uid="{00000000-0004-0000-0700-000069000000}"/>
    <hyperlink ref="Q111" r:id="rId107" xr:uid="{00000000-0004-0000-0700-00006A000000}"/>
    <hyperlink ref="Q112" r:id="rId108" xr:uid="{00000000-0004-0000-0700-00006B000000}"/>
    <hyperlink ref="Q113" r:id="rId109" xr:uid="{00000000-0004-0000-0700-00006C000000}"/>
    <hyperlink ref="Q114" r:id="rId110" xr:uid="{00000000-0004-0000-0700-00006D000000}"/>
    <hyperlink ref="Q115" r:id="rId111" xr:uid="{00000000-0004-0000-0700-00006E000000}"/>
    <hyperlink ref="Q116" r:id="rId112" xr:uid="{00000000-0004-0000-0700-00006F000000}"/>
    <hyperlink ref="Q117" r:id="rId113" xr:uid="{00000000-0004-0000-0700-000070000000}"/>
    <hyperlink ref="Q118" r:id="rId114" xr:uid="{00000000-0004-0000-0700-000071000000}"/>
    <hyperlink ref="Q119" r:id="rId115" xr:uid="{00000000-0004-0000-0700-000072000000}"/>
    <hyperlink ref="Q120" r:id="rId116" xr:uid="{00000000-0004-0000-0700-000073000000}"/>
    <hyperlink ref="Q121" r:id="rId117" xr:uid="{00000000-0004-0000-0700-000074000000}"/>
    <hyperlink ref="Q122" r:id="rId118" xr:uid="{00000000-0004-0000-0700-000075000000}"/>
    <hyperlink ref="Q123" r:id="rId119" xr:uid="{00000000-0004-0000-0700-000076000000}"/>
    <hyperlink ref="Q124" r:id="rId120" xr:uid="{00000000-0004-0000-0700-000077000000}"/>
    <hyperlink ref="Q125" r:id="rId121" xr:uid="{00000000-0004-0000-0700-000078000000}"/>
    <hyperlink ref="Q126" r:id="rId122" xr:uid="{00000000-0004-0000-0700-000079000000}"/>
    <hyperlink ref="Q127" r:id="rId123" xr:uid="{00000000-0004-0000-0700-00007A000000}"/>
    <hyperlink ref="Q128" r:id="rId124" xr:uid="{00000000-0004-0000-0700-00007B000000}"/>
    <hyperlink ref="Q129" r:id="rId125" xr:uid="{00000000-0004-0000-0700-00007C000000}"/>
    <hyperlink ref="Q130" r:id="rId126" xr:uid="{00000000-0004-0000-0700-00007D000000}"/>
    <hyperlink ref="Q131" r:id="rId127" xr:uid="{00000000-0004-0000-0700-00007E000000}"/>
    <hyperlink ref="Q132" r:id="rId128" xr:uid="{00000000-0004-0000-0700-00007F000000}"/>
    <hyperlink ref="Q133" r:id="rId129" xr:uid="{00000000-0004-0000-0700-000080000000}"/>
    <hyperlink ref="Q134" r:id="rId130" xr:uid="{00000000-0004-0000-0700-000081000000}"/>
    <hyperlink ref="Q135" r:id="rId131" xr:uid="{00000000-0004-0000-0700-000082000000}"/>
    <hyperlink ref="Q136" r:id="rId132" xr:uid="{00000000-0004-0000-0700-000083000000}"/>
    <hyperlink ref="Q137" r:id="rId133" xr:uid="{00000000-0004-0000-0700-000084000000}"/>
    <hyperlink ref="Q138" r:id="rId134" xr:uid="{00000000-0004-0000-0700-000085000000}"/>
    <hyperlink ref="Q139" r:id="rId135" xr:uid="{00000000-0004-0000-0700-000086000000}"/>
    <hyperlink ref="Q140" r:id="rId136" xr:uid="{00000000-0004-0000-0700-000087000000}"/>
    <hyperlink ref="Q141" r:id="rId137" xr:uid="{00000000-0004-0000-0700-000088000000}"/>
    <hyperlink ref="Q142" r:id="rId138" xr:uid="{00000000-0004-0000-0700-000089000000}"/>
    <hyperlink ref="Q143" r:id="rId139" xr:uid="{00000000-0004-0000-0700-00008A000000}"/>
    <hyperlink ref="Q144" r:id="rId140" xr:uid="{00000000-0004-0000-0700-00008B000000}"/>
    <hyperlink ref="Q145" r:id="rId141" xr:uid="{00000000-0004-0000-0700-00008C000000}"/>
    <hyperlink ref="Q146" r:id="rId142" xr:uid="{00000000-0004-0000-0700-00008D000000}"/>
    <hyperlink ref="Q147" r:id="rId143" xr:uid="{00000000-0004-0000-0700-00008E000000}"/>
    <hyperlink ref="Q148" r:id="rId144" xr:uid="{00000000-0004-0000-0700-00008F000000}"/>
    <hyperlink ref="Q149" r:id="rId145" xr:uid="{00000000-0004-0000-0700-000090000000}"/>
    <hyperlink ref="Q150" r:id="rId146" xr:uid="{00000000-0004-0000-0700-000091000000}"/>
    <hyperlink ref="Q151" r:id="rId147" xr:uid="{00000000-0004-0000-0700-000092000000}"/>
    <hyperlink ref="Q152" r:id="rId148" xr:uid="{00000000-0004-0000-0700-000093000000}"/>
    <hyperlink ref="Q153" r:id="rId149" xr:uid="{00000000-0004-0000-0700-000094000000}"/>
    <hyperlink ref="Q154" r:id="rId150" xr:uid="{00000000-0004-0000-0700-000095000000}"/>
    <hyperlink ref="Q155" r:id="rId151" xr:uid="{00000000-0004-0000-0700-000096000000}"/>
    <hyperlink ref="Q156" r:id="rId152" xr:uid="{00000000-0004-0000-0700-000097000000}"/>
    <hyperlink ref="Q157" r:id="rId153" xr:uid="{00000000-0004-0000-0700-000098000000}"/>
    <hyperlink ref="Q158" r:id="rId154" xr:uid="{00000000-0004-0000-0700-000099000000}"/>
    <hyperlink ref="Q159" r:id="rId155" xr:uid="{00000000-0004-0000-0700-00009A000000}"/>
    <hyperlink ref="Q160" r:id="rId156" xr:uid="{00000000-0004-0000-0700-00009B000000}"/>
    <hyperlink ref="Q161" r:id="rId157" xr:uid="{00000000-0004-0000-0700-00009C000000}"/>
    <hyperlink ref="Q162" r:id="rId158" xr:uid="{00000000-0004-0000-0700-00009D000000}"/>
    <hyperlink ref="Q163" r:id="rId159" xr:uid="{00000000-0004-0000-0700-00009E000000}"/>
    <hyperlink ref="Q164" r:id="rId160" xr:uid="{00000000-0004-0000-0700-00009F000000}"/>
    <hyperlink ref="Q165" r:id="rId161" xr:uid="{00000000-0004-0000-0700-0000A0000000}"/>
    <hyperlink ref="Q166" r:id="rId162" xr:uid="{00000000-0004-0000-0700-0000A1000000}"/>
    <hyperlink ref="Q167" r:id="rId163" xr:uid="{00000000-0004-0000-0700-0000A2000000}"/>
    <hyperlink ref="Q168" r:id="rId164" xr:uid="{00000000-0004-0000-0700-0000A3000000}"/>
    <hyperlink ref="Q169" r:id="rId165" xr:uid="{00000000-0004-0000-0700-0000A4000000}"/>
    <hyperlink ref="Q170" r:id="rId166" xr:uid="{00000000-0004-0000-0700-0000A5000000}"/>
    <hyperlink ref="Q171" r:id="rId167" xr:uid="{00000000-0004-0000-0700-0000A6000000}"/>
    <hyperlink ref="Q172" r:id="rId168" xr:uid="{00000000-0004-0000-0700-0000A7000000}"/>
    <hyperlink ref="Q173" r:id="rId169" xr:uid="{00000000-0004-0000-0700-0000A8000000}"/>
    <hyperlink ref="Q174" r:id="rId170" xr:uid="{00000000-0004-0000-0700-0000A9000000}"/>
    <hyperlink ref="Q175" r:id="rId171" xr:uid="{00000000-0004-0000-0700-0000AA000000}"/>
    <hyperlink ref="Q176" r:id="rId172" xr:uid="{00000000-0004-0000-0700-0000AB000000}"/>
    <hyperlink ref="Q177" r:id="rId173" xr:uid="{00000000-0004-0000-0700-0000AC000000}"/>
    <hyperlink ref="Q178" r:id="rId174" xr:uid="{00000000-0004-0000-0700-0000AD000000}"/>
    <hyperlink ref="Q179" r:id="rId175" xr:uid="{00000000-0004-0000-0700-0000AE000000}"/>
    <hyperlink ref="Q180" r:id="rId176" xr:uid="{00000000-0004-0000-0700-0000AF000000}"/>
    <hyperlink ref="Q181" r:id="rId177" xr:uid="{00000000-0004-0000-0700-0000B0000000}"/>
    <hyperlink ref="Q182" r:id="rId178" xr:uid="{00000000-0004-0000-0700-0000B1000000}"/>
    <hyperlink ref="Q183" r:id="rId179" xr:uid="{00000000-0004-0000-0700-0000B2000000}"/>
    <hyperlink ref="Q184" r:id="rId180" xr:uid="{00000000-0004-0000-0700-0000B3000000}"/>
    <hyperlink ref="Q185" r:id="rId181" xr:uid="{00000000-0004-0000-0700-0000B4000000}"/>
    <hyperlink ref="Q186" r:id="rId182" xr:uid="{00000000-0004-0000-0700-0000B5000000}"/>
    <hyperlink ref="Q187" r:id="rId183" xr:uid="{00000000-0004-0000-0700-0000B6000000}"/>
    <hyperlink ref="Q188" r:id="rId184" xr:uid="{00000000-0004-0000-0700-0000B7000000}"/>
    <hyperlink ref="Q189" r:id="rId185" xr:uid="{00000000-0004-0000-0700-0000B8000000}"/>
    <hyperlink ref="Q190" r:id="rId186" xr:uid="{00000000-0004-0000-0700-0000B9000000}"/>
    <hyperlink ref="Q191" r:id="rId187" xr:uid="{00000000-0004-0000-0700-0000BA000000}"/>
    <hyperlink ref="Q192" r:id="rId188" xr:uid="{00000000-0004-0000-0700-0000BB000000}"/>
    <hyperlink ref="Q193" r:id="rId189" xr:uid="{00000000-0004-0000-0700-0000BC000000}"/>
    <hyperlink ref="Q194" r:id="rId190" xr:uid="{00000000-0004-0000-0700-0000BD000000}"/>
    <hyperlink ref="Q195" r:id="rId191" xr:uid="{00000000-0004-0000-0700-0000BE000000}"/>
    <hyperlink ref="Q196" r:id="rId192" xr:uid="{00000000-0004-0000-0700-0000BF000000}"/>
    <hyperlink ref="Q197" r:id="rId193" xr:uid="{00000000-0004-0000-0700-0000C0000000}"/>
    <hyperlink ref="Q198" r:id="rId194" xr:uid="{00000000-0004-0000-0700-0000C1000000}"/>
    <hyperlink ref="Q199" r:id="rId195" xr:uid="{00000000-0004-0000-0700-0000C2000000}"/>
    <hyperlink ref="Q200" r:id="rId196" xr:uid="{00000000-0004-0000-0700-0000C3000000}"/>
    <hyperlink ref="Q201" r:id="rId197" xr:uid="{00000000-0004-0000-0700-0000C4000000}"/>
    <hyperlink ref="Q202" r:id="rId198" xr:uid="{00000000-0004-0000-0700-0000C5000000}"/>
    <hyperlink ref="Q203" r:id="rId199" xr:uid="{00000000-0004-0000-0700-0000C6000000}"/>
    <hyperlink ref="Q204" r:id="rId200" xr:uid="{00000000-0004-0000-0700-0000C7000000}"/>
    <hyperlink ref="Q205" r:id="rId201" xr:uid="{00000000-0004-0000-0700-0000C8000000}"/>
    <hyperlink ref="Q206" r:id="rId202" xr:uid="{00000000-0004-0000-0700-0000C9000000}"/>
    <hyperlink ref="Q207" r:id="rId203" xr:uid="{00000000-0004-0000-0700-0000CA000000}"/>
    <hyperlink ref="Q208" r:id="rId204" xr:uid="{00000000-0004-0000-0700-0000CB000000}"/>
    <hyperlink ref="Q209" r:id="rId205" xr:uid="{00000000-0004-0000-0700-0000CC000000}"/>
    <hyperlink ref="Q210" r:id="rId206" xr:uid="{00000000-0004-0000-0700-0000CD000000}"/>
    <hyperlink ref="Q211" r:id="rId207" xr:uid="{00000000-0004-0000-0700-0000CE000000}"/>
    <hyperlink ref="Q212" r:id="rId208" xr:uid="{00000000-0004-0000-0700-0000CF000000}"/>
    <hyperlink ref="Q213" r:id="rId209" xr:uid="{00000000-0004-0000-0700-0000D0000000}"/>
    <hyperlink ref="Q214" r:id="rId210" xr:uid="{00000000-0004-0000-0700-0000D1000000}"/>
    <hyperlink ref="Q215" r:id="rId211" xr:uid="{00000000-0004-0000-0700-0000D2000000}"/>
    <hyperlink ref="Q216" r:id="rId212" xr:uid="{00000000-0004-0000-0700-0000D3000000}"/>
    <hyperlink ref="Q217" r:id="rId213" xr:uid="{00000000-0004-0000-0700-0000D4000000}"/>
    <hyperlink ref="Q218" r:id="rId214" xr:uid="{00000000-0004-0000-0700-0000D5000000}"/>
    <hyperlink ref="Q219" r:id="rId215" xr:uid="{00000000-0004-0000-0700-0000D6000000}"/>
    <hyperlink ref="Q220" r:id="rId216" xr:uid="{00000000-0004-0000-0700-0000D7000000}"/>
    <hyperlink ref="Q221" r:id="rId217" xr:uid="{00000000-0004-0000-0700-0000D8000000}"/>
    <hyperlink ref="Q222" r:id="rId218" xr:uid="{00000000-0004-0000-0700-0000D9000000}"/>
    <hyperlink ref="Q223" r:id="rId219" xr:uid="{00000000-0004-0000-0700-0000DA000000}"/>
    <hyperlink ref="Q224" r:id="rId220" xr:uid="{00000000-0004-0000-0700-0000DB000000}"/>
    <hyperlink ref="Q225" r:id="rId221" xr:uid="{00000000-0004-0000-0700-0000DC000000}"/>
    <hyperlink ref="Q226" r:id="rId222" xr:uid="{00000000-0004-0000-0700-0000DD000000}"/>
    <hyperlink ref="Q227" r:id="rId223" xr:uid="{00000000-0004-0000-0700-0000DE000000}"/>
    <hyperlink ref="Q228" r:id="rId224" xr:uid="{00000000-0004-0000-0700-0000DF000000}"/>
    <hyperlink ref="Q229" r:id="rId225" xr:uid="{00000000-0004-0000-0700-0000E0000000}"/>
    <hyperlink ref="Q230" r:id="rId226" xr:uid="{00000000-0004-0000-0700-0000E1000000}"/>
    <hyperlink ref="Q231" r:id="rId227" xr:uid="{00000000-0004-0000-0700-0000E2000000}"/>
    <hyperlink ref="Q232" r:id="rId228" xr:uid="{00000000-0004-0000-0700-0000E3000000}"/>
    <hyperlink ref="Q233" r:id="rId229" xr:uid="{00000000-0004-0000-0700-0000E4000000}"/>
    <hyperlink ref="Q234" r:id="rId230" xr:uid="{00000000-0004-0000-0700-0000E5000000}"/>
    <hyperlink ref="Q235" r:id="rId231" xr:uid="{00000000-0004-0000-0700-0000E6000000}"/>
    <hyperlink ref="Q236" r:id="rId232" xr:uid="{00000000-0004-0000-0700-0000E7000000}"/>
    <hyperlink ref="Q237" r:id="rId233" xr:uid="{00000000-0004-0000-0700-0000E8000000}"/>
    <hyperlink ref="Q238" r:id="rId234" xr:uid="{00000000-0004-0000-0700-0000E9000000}"/>
    <hyperlink ref="Q239" r:id="rId235" xr:uid="{00000000-0004-0000-0700-0000EA000000}"/>
    <hyperlink ref="Q240" r:id="rId236" xr:uid="{00000000-0004-0000-0700-0000EB000000}"/>
    <hyperlink ref="Q241" r:id="rId237" xr:uid="{00000000-0004-0000-0700-0000EC000000}"/>
    <hyperlink ref="Q242" r:id="rId238" xr:uid="{00000000-0004-0000-0700-0000ED000000}"/>
    <hyperlink ref="Q243" r:id="rId239" xr:uid="{00000000-0004-0000-0700-0000EE000000}"/>
    <hyperlink ref="Q244" r:id="rId240" xr:uid="{00000000-0004-0000-0700-0000EF000000}"/>
    <hyperlink ref="Q245" r:id="rId241" xr:uid="{00000000-0004-0000-0700-0000F0000000}"/>
    <hyperlink ref="Q246" r:id="rId242" xr:uid="{00000000-0004-0000-0700-0000F1000000}"/>
    <hyperlink ref="Q247" r:id="rId243" xr:uid="{00000000-0004-0000-0700-0000F2000000}"/>
    <hyperlink ref="Q248" r:id="rId244" xr:uid="{00000000-0004-0000-0700-0000F3000000}"/>
    <hyperlink ref="Q249" r:id="rId245" xr:uid="{00000000-0004-0000-0700-0000F4000000}"/>
    <hyperlink ref="Q250" r:id="rId246" xr:uid="{00000000-0004-0000-0700-0000F5000000}"/>
    <hyperlink ref="Q251" r:id="rId247" xr:uid="{00000000-0004-0000-0700-0000F6000000}"/>
    <hyperlink ref="Q252" r:id="rId248" xr:uid="{00000000-0004-0000-0700-0000F7000000}"/>
    <hyperlink ref="Q253" r:id="rId249" xr:uid="{00000000-0004-0000-0700-0000F8000000}"/>
    <hyperlink ref="Q254" r:id="rId250" xr:uid="{00000000-0004-0000-0700-0000F9000000}"/>
    <hyperlink ref="Q255" r:id="rId251" xr:uid="{00000000-0004-0000-0700-0000FA000000}"/>
    <hyperlink ref="Q256" r:id="rId252" xr:uid="{00000000-0004-0000-0700-0000FB000000}"/>
    <hyperlink ref="Q257" r:id="rId253" xr:uid="{00000000-0004-0000-0700-0000FC000000}"/>
    <hyperlink ref="Q258" r:id="rId254" xr:uid="{00000000-0004-0000-0700-0000FD000000}"/>
    <hyperlink ref="Q259" r:id="rId255" xr:uid="{00000000-0004-0000-0700-0000FE000000}"/>
    <hyperlink ref="Q260" r:id="rId256" xr:uid="{00000000-0004-0000-0700-0000FF000000}"/>
    <hyperlink ref="Q261" r:id="rId257" xr:uid="{00000000-0004-0000-0700-000000010000}"/>
    <hyperlink ref="Q262" r:id="rId258" xr:uid="{00000000-0004-0000-0700-000001010000}"/>
    <hyperlink ref="Q263" r:id="rId259" xr:uid="{00000000-0004-0000-0700-000002010000}"/>
    <hyperlink ref="Q264" r:id="rId260" xr:uid="{00000000-0004-0000-0700-000003010000}"/>
    <hyperlink ref="Q265" r:id="rId261" xr:uid="{00000000-0004-0000-0700-000004010000}"/>
    <hyperlink ref="Q266" r:id="rId262" xr:uid="{00000000-0004-0000-0700-000005010000}"/>
    <hyperlink ref="Q267" r:id="rId263" xr:uid="{00000000-0004-0000-0700-000006010000}"/>
    <hyperlink ref="Q268" r:id="rId264" xr:uid="{00000000-0004-0000-0700-000007010000}"/>
    <hyperlink ref="Q269" r:id="rId265" xr:uid="{00000000-0004-0000-0700-000008010000}"/>
    <hyperlink ref="Q270" r:id="rId266" xr:uid="{00000000-0004-0000-0700-000009010000}"/>
    <hyperlink ref="Q271" r:id="rId267" xr:uid="{00000000-0004-0000-0700-00000A010000}"/>
    <hyperlink ref="Q272" r:id="rId268" xr:uid="{00000000-0004-0000-0700-00000B010000}"/>
    <hyperlink ref="Q273" r:id="rId269" xr:uid="{00000000-0004-0000-0700-00000C010000}"/>
    <hyperlink ref="Q274" r:id="rId270" xr:uid="{00000000-0004-0000-0700-00000D010000}"/>
    <hyperlink ref="Q275" r:id="rId271" xr:uid="{00000000-0004-0000-0700-00000E010000}"/>
    <hyperlink ref="Q276" r:id="rId272" xr:uid="{00000000-0004-0000-0700-00000F010000}"/>
    <hyperlink ref="Q277" r:id="rId273" xr:uid="{00000000-0004-0000-0700-000010010000}"/>
    <hyperlink ref="Q278" r:id="rId274" xr:uid="{00000000-0004-0000-0700-000011010000}"/>
    <hyperlink ref="Q279" r:id="rId275" xr:uid="{00000000-0004-0000-0700-000012010000}"/>
    <hyperlink ref="Q280" r:id="rId276" xr:uid="{00000000-0004-0000-0700-000013010000}"/>
    <hyperlink ref="Q281" r:id="rId277" xr:uid="{00000000-0004-0000-0700-000014010000}"/>
    <hyperlink ref="Q282" r:id="rId278" xr:uid="{00000000-0004-0000-0700-000015010000}"/>
    <hyperlink ref="Q283" r:id="rId279" xr:uid="{00000000-0004-0000-0700-000016010000}"/>
    <hyperlink ref="Q284" r:id="rId280" xr:uid="{00000000-0004-0000-0700-000017010000}"/>
    <hyperlink ref="Q285" r:id="rId281" xr:uid="{00000000-0004-0000-0700-000018010000}"/>
    <hyperlink ref="Q286" r:id="rId282" xr:uid="{00000000-0004-0000-0700-000019010000}"/>
    <hyperlink ref="Q287" r:id="rId283" xr:uid="{00000000-0004-0000-0700-00001A010000}"/>
    <hyperlink ref="Q288" r:id="rId284" xr:uid="{00000000-0004-0000-0700-00001B010000}"/>
    <hyperlink ref="Q289" r:id="rId285" xr:uid="{00000000-0004-0000-0700-00001C010000}"/>
    <hyperlink ref="Q290" r:id="rId286" xr:uid="{00000000-0004-0000-0700-00001D010000}"/>
    <hyperlink ref="Q291" r:id="rId287" xr:uid="{00000000-0004-0000-0700-00001E010000}"/>
    <hyperlink ref="Q292" r:id="rId288" xr:uid="{00000000-0004-0000-0700-00001F010000}"/>
    <hyperlink ref="Q293" r:id="rId289" xr:uid="{00000000-0004-0000-0700-000020010000}"/>
    <hyperlink ref="Q294" r:id="rId290" xr:uid="{00000000-0004-0000-0700-000021010000}"/>
    <hyperlink ref="Q295" r:id="rId291" xr:uid="{00000000-0004-0000-0700-000022010000}"/>
    <hyperlink ref="Q296" r:id="rId292" xr:uid="{00000000-0004-0000-0700-000023010000}"/>
    <hyperlink ref="Q297" r:id="rId293" xr:uid="{00000000-0004-0000-0700-000024010000}"/>
    <hyperlink ref="Q298" r:id="rId294" xr:uid="{00000000-0004-0000-0700-000025010000}"/>
    <hyperlink ref="Q299" r:id="rId295" xr:uid="{00000000-0004-0000-0700-000026010000}"/>
    <hyperlink ref="Q300" r:id="rId296" xr:uid="{00000000-0004-0000-0700-000027010000}"/>
    <hyperlink ref="Q301" r:id="rId297" xr:uid="{00000000-0004-0000-0700-000028010000}"/>
    <hyperlink ref="Q302" r:id="rId298" xr:uid="{00000000-0004-0000-0700-000029010000}"/>
    <hyperlink ref="Q303" r:id="rId299" xr:uid="{00000000-0004-0000-0700-00002A010000}"/>
    <hyperlink ref="Q304" r:id="rId300" xr:uid="{00000000-0004-0000-0700-00002B010000}"/>
    <hyperlink ref="Q305" r:id="rId301" xr:uid="{00000000-0004-0000-0700-00002C010000}"/>
    <hyperlink ref="Q306" r:id="rId302" xr:uid="{00000000-0004-0000-0700-00002D010000}"/>
    <hyperlink ref="Q307" r:id="rId303" xr:uid="{00000000-0004-0000-0700-00002E010000}"/>
    <hyperlink ref="Q308" r:id="rId304" xr:uid="{00000000-0004-0000-0700-00002F010000}"/>
    <hyperlink ref="Q309" r:id="rId305" xr:uid="{00000000-0004-0000-0700-000030010000}"/>
    <hyperlink ref="Q310" r:id="rId306" xr:uid="{00000000-0004-0000-0700-000031010000}"/>
    <hyperlink ref="Q311" r:id="rId307" xr:uid="{00000000-0004-0000-0700-000032010000}"/>
    <hyperlink ref="Q312" r:id="rId308" xr:uid="{00000000-0004-0000-0700-000033010000}"/>
    <hyperlink ref="Q313" r:id="rId309" xr:uid="{00000000-0004-0000-0700-000034010000}"/>
    <hyperlink ref="Q314" r:id="rId310" xr:uid="{00000000-0004-0000-0700-000035010000}"/>
    <hyperlink ref="Q315" r:id="rId311" xr:uid="{00000000-0004-0000-0700-000036010000}"/>
    <hyperlink ref="Q316" r:id="rId312" xr:uid="{00000000-0004-0000-0700-000037010000}"/>
    <hyperlink ref="Q317" r:id="rId313" xr:uid="{00000000-0004-0000-0700-000038010000}"/>
    <hyperlink ref="Q318" r:id="rId314" xr:uid="{00000000-0004-0000-0700-000039010000}"/>
    <hyperlink ref="Q319" r:id="rId315" xr:uid="{00000000-0004-0000-0700-00003A010000}"/>
    <hyperlink ref="Q320" r:id="rId316" xr:uid="{00000000-0004-0000-0700-00003B010000}"/>
    <hyperlink ref="Q321" r:id="rId317" xr:uid="{00000000-0004-0000-0700-00003C010000}"/>
    <hyperlink ref="Q322" r:id="rId318" xr:uid="{00000000-0004-0000-0700-00003D010000}"/>
    <hyperlink ref="Q323" r:id="rId319" xr:uid="{00000000-0004-0000-0700-00003E010000}"/>
    <hyperlink ref="Q324" r:id="rId320" xr:uid="{00000000-0004-0000-0700-00003F010000}"/>
    <hyperlink ref="Q325" r:id="rId321" xr:uid="{00000000-0004-0000-0700-000040010000}"/>
    <hyperlink ref="Q326" r:id="rId322" xr:uid="{00000000-0004-0000-0700-000041010000}"/>
    <hyperlink ref="Q327" r:id="rId323" xr:uid="{00000000-0004-0000-0700-000042010000}"/>
    <hyperlink ref="Q328" r:id="rId324" xr:uid="{00000000-0004-0000-0700-000043010000}"/>
    <hyperlink ref="Q329" r:id="rId325" xr:uid="{00000000-0004-0000-0700-000044010000}"/>
    <hyperlink ref="Q330" r:id="rId326" xr:uid="{00000000-0004-0000-0700-000045010000}"/>
    <hyperlink ref="Q331" r:id="rId327" xr:uid="{00000000-0004-0000-0700-000046010000}"/>
    <hyperlink ref="Q332" r:id="rId328" xr:uid="{00000000-0004-0000-0700-000047010000}"/>
    <hyperlink ref="Q333" r:id="rId329" xr:uid="{00000000-0004-0000-0700-000048010000}"/>
    <hyperlink ref="Q334" r:id="rId330" xr:uid="{00000000-0004-0000-0700-000049010000}"/>
    <hyperlink ref="Q335" r:id="rId331" xr:uid="{00000000-0004-0000-0700-00004A010000}"/>
    <hyperlink ref="Q336" r:id="rId332" xr:uid="{00000000-0004-0000-0700-00004B010000}"/>
    <hyperlink ref="Q337" r:id="rId333" xr:uid="{00000000-0004-0000-0700-00004C010000}"/>
    <hyperlink ref="Q338" r:id="rId334" xr:uid="{00000000-0004-0000-0700-00004D010000}"/>
    <hyperlink ref="Q339" r:id="rId335" xr:uid="{00000000-0004-0000-0700-00004E010000}"/>
    <hyperlink ref="Q340" r:id="rId336" xr:uid="{00000000-0004-0000-0700-00004F010000}"/>
    <hyperlink ref="Q341" r:id="rId337" xr:uid="{00000000-0004-0000-0700-000050010000}"/>
    <hyperlink ref="Q342" r:id="rId338" xr:uid="{00000000-0004-0000-0700-000051010000}"/>
    <hyperlink ref="Q343" r:id="rId339" xr:uid="{00000000-0004-0000-0700-000052010000}"/>
    <hyperlink ref="Q344" r:id="rId340" xr:uid="{00000000-0004-0000-0700-000053010000}"/>
    <hyperlink ref="Q345" r:id="rId341" xr:uid="{00000000-0004-0000-0700-000054010000}"/>
    <hyperlink ref="Q346" r:id="rId342" xr:uid="{00000000-0004-0000-0700-000055010000}"/>
    <hyperlink ref="Q347" r:id="rId343" xr:uid="{00000000-0004-0000-0700-000056010000}"/>
    <hyperlink ref="Q348" r:id="rId344" xr:uid="{00000000-0004-0000-0700-000057010000}"/>
    <hyperlink ref="Q349" r:id="rId345" xr:uid="{00000000-0004-0000-0700-000058010000}"/>
    <hyperlink ref="Q350" r:id="rId346" xr:uid="{00000000-0004-0000-0700-000059010000}"/>
    <hyperlink ref="Q351" r:id="rId347" xr:uid="{00000000-0004-0000-0700-00005A010000}"/>
    <hyperlink ref="Q352" r:id="rId348" xr:uid="{00000000-0004-0000-0700-00005B010000}"/>
    <hyperlink ref="Q353" r:id="rId349" xr:uid="{00000000-0004-0000-0700-00005C010000}"/>
    <hyperlink ref="Q354" r:id="rId350" xr:uid="{00000000-0004-0000-0700-00005D010000}"/>
    <hyperlink ref="Q355" r:id="rId351" xr:uid="{00000000-0004-0000-0700-00005E010000}"/>
    <hyperlink ref="Q356" r:id="rId352" xr:uid="{00000000-0004-0000-0700-00005F010000}"/>
    <hyperlink ref="Q357" r:id="rId353" xr:uid="{00000000-0004-0000-0700-000060010000}"/>
    <hyperlink ref="Q358" r:id="rId354" xr:uid="{00000000-0004-0000-0700-000061010000}"/>
    <hyperlink ref="Q359" r:id="rId355" xr:uid="{00000000-0004-0000-0700-000062010000}"/>
    <hyperlink ref="Q360" r:id="rId356" xr:uid="{00000000-0004-0000-0700-000063010000}"/>
    <hyperlink ref="Q361" r:id="rId357" xr:uid="{00000000-0004-0000-0700-000064010000}"/>
    <hyperlink ref="Q362" r:id="rId358" xr:uid="{00000000-0004-0000-0700-000065010000}"/>
    <hyperlink ref="Q363" r:id="rId359" xr:uid="{00000000-0004-0000-0700-000066010000}"/>
    <hyperlink ref="Q364" r:id="rId360" xr:uid="{00000000-0004-0000-0700-000067010000}"/>
    <hyperlink ref="Q365" r:id="rId361" xr:uid="{00000000-0004-0000-0700-000068010000}"/>
    <hyperlink ref="Q366" r:id="rId362" xr:uid="{00000000-0004-0000-0700-000069010000}"/>
    <hyperlink ref="Q367" r:id="rId363" xr:uid="{00000000-0004-0000-0700-00006A010000}"/>
    <hyperlink ref="Q368" r:id="rId364" xr:uid="{00000000-0004-0000-0700-00006B010000}"/>
    <hyperlink ref="Q369" r:id="rId365" xr:uid="{00000000-0004-0000-0700-00006C010000}"/>
    <hyperlink ref="Q370" r:id="rId366" xr:uid="{00000000-0004-0000-0700-00006D010000}"/>
    <hyperlink ref="Q371" r:id="rId367" xr:uid="{00000000-0004-0000-0700-00006E010000}"/>
    <hyperlink ref="Q372" r:id="rId368" xr:uid="{00000000-0004-0000-0700-00006F010000}"/>
    <hyperlink ref="Q373" r:id="rId369" xr:uid="{00000000-0004-0000-0700-000070010000}"/>
    <hyperlink ref="Q374" r:id="rId370" xr:uid="{00000000-0004-0000-0700-000071010000}"/>
    <hyperlink ref="Q375" r:id="rId371" xr:uid="{00000000-0004-0000-0700-000072010000}"/>
    <hyperlink ref="Q376" r:id="rId372" xr:uid="{00000000-0004-0000-0700-000073010000}"/>
    <hyperlink ref="Q377" r:id="rId373" xr:uid="{00000000-0004-0000-0700-000074010000}"/>
    <hyperlink ref="Q378" r:id="rId374" xr:uid="{00000000-0004-0000-0700-000075010000}"/>
    <hyperlink ref="Q379" r:id="rId375" xr:uid="{00000000-0004-0000-0700-000076010000}"/>
    <hyperlink ref="Q380" r:id="rId376" xr:uid="{00000000-0004-0000-0700-000077010000}"/>
    <hyperlink ref="Q381" r:id="rId377" xr:uid="{00000000-0004-0000-0700-000078010000}"/>
    <hyperlink ref="Q382" r:id="rId378" xr:uid="{00000000-0004-0000-0700-000079010000}"/>
    <hyperlink ref="Q383" r:id="rId379" xr:uid="{00000000-0004-0000-0700-00007A010000}"/>
    <hyperlink ref="Q384" r:id="rId380" xr:uid="{00000000-0004-0000-0700-00007B010000}"/>
    <hyperlink ref="Q385" r:id="rId381" xr:uid="{00000000-0004-0000-0700-00007C010000}"/>
    <hyperlink ref="Q386" r:id="rId382" xr:uid="{00000000-0004-0000-0700-00007D010000}"/>
    <hyperlink ref="Q387" r:id="rId383" xr:uid="{00000000-0004-0000-0700-00007E010000}"/>
    <hyperlink ref="Q388" r:id="rId384" xr:uid="{00000000-0004-0000-0700-00007F010000}"/>
    <hyperlink ref="Q389" r:id="rId385" xr:uid="{00000000-0004-0000-0700-000080010000}"/>
    <hyperlink ref="Q390" r:id="rId386" xr:uid="{00000000-0004-0000-0700-000081010000}"/>
    <hyperlink ref="Q391" r:id="rId387" xr:uid="{00000000-0004-0000-0700-000082010000}"/>
    <hyperlink ref="Q392" r:id="rId388" xr:uid="{00000000-0004-0000-0700-000083010000}"/>
    <hyperlink ref="Q393" r:id="rId389" xr:uid="{00000000-0004-0000-0700-000084010000}"/>
    <hyperlink ref="Q394" r:id="rId390" xr:uid="{00000000-0004-0000-0700-000085010000}"/>
    <hyperlink ref="Q395" r:id="rId391" xr:uid="{00000000-0004-0000-0700-000086010000}"/>
    <hyperlink ref="Q396" r:id="rId392" xr:uid="{00000000-0004-0000-0700-000087010000}"/>
    <hyperlink ref="Q397" r:id="rId393" xr:uid="{00000000-0004-0000-0700-000088010000}"/>
    <hyperlink ref="Q398" r:id="rId394" xr:uid="{00000000-0004-0000-0700-000089010000}"/>
    <hyperlink ref="Q399" r:id="rId395" xr:uid="{00000000-0004-0000-0700-00008A010000}"/>
    <hyperlink ref="Q400" r:id="rId396" xr:uid="{00000000-0004-0000-0700-00008B010000}"/>
    <hyperlink ref="Q401" r:id="rId397" xr:uid="{00000000-0004-0000-0700-00008C010000}"/>
    <hyperlink ref="Q402" r:id="rId398" xr:uid="{00000000-0004-0000-0700-00008D010000}"/>
    <hyperlink ref="Q403" r:id="rId399" xr:uid="{00000000-0004-0000-0700-00008E010000}"/>
    <hyperlink ref="Q404" r:id="rId400" xr:uid="{00000000-0004-0000-0700-00008F010000}"/>
    <hyperlink ref="Q405" r:id="rId401" xr:uid="{00000000-0004-0000-0700-000090010000}"/>
    <hyperlink ref="Q406" r:id="rId402" xr:uid="{00000000-0004-0000-0700-000091010000}"/>
    <hyperlink ref="Q407" r:id="rId403" xr:uid="{00000000-0004-0000-0700-000092010000}"/>
    <hyperlink ref="Q408" r:id="rId404" xr:uid="{00000000-0004-0000-0700-000093010000}"/>
    <hyperlink ref="Q409" r:id="rId405" xr:uid="{00000000-0004-0000-0700-000094010000}"/>
    <hyperlink ref="Q410" r:id="rId406" xr:uid="{00000000-0004-0000-0700-000095010000}"/>
    <hyperlink ref="Q411" r:id="rId407" xr:uid="{00000000-0004-0000-0700-000096010000}"/>
    <hyperlink ref="Q412" r:id="rId408" xr:uid="{00000000-0004-0000-0700-000097010000}"/>
    <hyperlink ref="Q413" r:id="rId409" xr:uid="{00000000-0004-0000-0700-000098010000}"/>
    <hyperlink ref="Q414" r:id="rId410" xr:uid="{00000000-0004-0000-0700-000099010000}"/>
    <hyperlink ref="Q415" r:id="rId411" xr:uid="{00000000-0004-0000-0700-00009A010000}"/>
    <hyperlink ref="Q416" r:id="rId412" xr:uid="{00000000-0004-0000-0700-00009B010000}"/>
    <hyperlink ref="Q417" r:id="rId413" xr:uid="{00000000-0004-0000-0700-00009C010000}"/>
    <hyperlink ref="Q418" r:id="rId414" xr:uid="{00000000-0004-0000-0700-00009D010000}"/>
    <hyperlink ref="Q419" r:id="rId415" xr:uid="{00000000-0004-0000-0700-00009E010000}"/>
    <hyperlink ref="Q420" r:id="rId416" xr:uid="{00000000-0004-0000-0700-00009F010000}"/>
    <hyperlink ref="Q421" r:id="rId417" xr:uid="{00000000-0004-0000-0700-0000A0010000}"/>
    <hyperlink ref="Q422" r:id="rId418" xr:uid="{00000000-0004-0000-0700-0000A1010000}"/>
    <hyperlink ref="Q423" r:id="rId419" xr:uid="{00000000-0004-0000-0700-0000A2010000}"/>
    <hyperlink ref="Q424" r:id="rId420" xr:uid="{00000000-0004-0000-0700-0000A3010000}"/>
    <hyperlink ref="Q425" r:id="rId421" xr:uid="{00000000-0004-0000-0700-0000A4010000}"/>
    <hyperlink ref="Q426" r:id="rId422" xr:uid="{00000000-0004-0000-0700-0000A5010000}"/>
    <hyperlink ref="Q427" r:id="rId423" xr:uid="{00000000-0004-0000-0700-0000A6010000}"/>
    <hyperlink ref="Q428" r:id="rId424" xr:uid="{00000000-0004-0000-0700-0000A7010000}"/>
    <hyperlink ref="Q429" r:id="rId425" xr:uid="{00000000-0004-0000-0700-0000A8010000}"/>
    <hyperlink ref="Q430" r:id="rId426" xr:uid="{00000000-0004-0000-0700-0000A9010000}"/>
    <hyperlink ref="Q431" r:id="rId427" xr:uid="{00000000-0004-0000-0700-0000AA010000}"/>
    <hyperlink ref="Q432" r:id="rId428" xr:uid="{00000000-0004-0000-0700-0000AB010000}"/>
    <hyperlink ref="Q433" r:id="rId429" xr:uid="{00000000-0004-0000-0700-0000AC010000}"/>
    <hyperlink ref="Q434" r:id="rId430" xr:uid="{00000000-0004-0000-0700-0000AD010000}"/>
    <hyperlink ref="Q435" r:id="rId431" xr:uid="{00000000-0004-0000-0700-0000AE010000}"/>
    <hyperlink ref="Q436" r:id="rId432" xr:uid="{00000000-0004-0000-0700-0000AF010000}"/>
    <hyperlink ref="Q437" r:id="rId433" xr:uid="{00000000-0004-0000-0700-0000B0010000}"/>
    <hyperlink ref="Q438" r:id="rId434" xr:uid="{00000000-0004-0000-0700-0000B1010000}"/>
    <hyperlink ref="Q439" r:id="rId435" xr:uid="{00000000-0004-0000-0700-0000B2010000}"/>
    <hyperlink ref="Q440" r:id="rId436" xr:uid="{00000000-0004-0000-0700-0000B3010000}"/>
    <hyperlink ref="Q441" r:id="rId437" xr:uid="{00000000-0004-0000-0700-0000B4010000}"/>
    <hyperlink ref="Q442" r:id="rId438" xr:uid="{00000000-0004-0000-0700-0000B5010000}"/>
    <hyperlink ref="Q443" r:id="rId439" xr:uid="{00000000-0004-0000-0700-0000B6010000}"/>
    <hyperlink ref="Q444" r:id="rId440" xr:uid="{00000000-0004-0000-0700-0000B7010000}"/>
    <hyperlink ref="Q445" r:id="rId441" xr:uid="{00000000-0004-0000-0700-0000B8010000}"/>
    <hyperlink ref="Q446" r:id="rId442" xr:uid="{00000000-0004-0000-0700-0000B9010000}"/>
    <hyperlink ref="Q447" r:id="rId443" xr:uid="{00000000-0004-0000-0700-0000BA010000}"/>
    <hyperlink ref="Q448" r:id="rId444" xr:uid="{00000000-0004-0000-0700-0000BB010000}"/>
    <hyperlink ref="Q449" r:id="rId445" xr:uid="{00000000-0004-0000-0700-0000BC010000}"/>
    <hyperlink ref="Q450" r:id="rId446" xr:uid="{00000000-0004-0000-0700-0000BD010000}"/>
    <hyperlink ref="Q451" r:id="rId447" xr:uid="{00000000-0004-0000-0700-0000BE010000}"/>
    <hyperlink ref="Q452" r:id="rId448" xr:uid="{00000000-0004-0000-0700-0000BF010000}"/>
    <hyperlink ref="Q453" r:id="rId449" xr:uid="{00000000-0004-0000-0700-0000C0010000}"/>
    <hyperlink ref="Q454" r:id="rId450" xr:uid="{00000000-0004-0000-0700-0000C1010000}"/>
    <hyperlink ref="Q455" r:id="rId451" xr:uid="{00000000-0004-0000-0700-0000C2010000}"/>
    <hyperlink ref="Q456" r:id="rId452" xr:uid="{00000000-0004-0000-0700-0000C3010000}"/>
    <hyperlink ref="Q457" r:id="rId453" xr:uid="{00000000-0004-0000-0700-0000C4010000}"/>
    <hyperlink ref="Q458" r:id="rId454" xr:uid="{00000000-0004-0000-0700-0000C5010000}"/>
    <hyperlink ref="Q459" r:id="rId455" xr:uid="{00000000-0004-0000-0700-0000C6010000}"/>
    <hyperlink ref="Q460" r:id="rId456" xr:uid="{00000000-0004-0000-0700-0000C7010000}"/>
    <hyperlink ref="Q461" r:id="rId457" xr:uid="{00000000-0004-0000-0700-0000C8010000}"/>
    <hyperlink ref="Q462" r:id="rId458" xr:uid="{00000000-0004-0000-0700-0000C9010000}"/>
    <hyperlink ref="Q463" r:id="rId459" xr:uid="{00000000-0004-0000-0700-0000CA010000}"/>
    <hyperlink ref="Q464" r:id="rId460" xr:uid="{00000000-0004-0000-0700-0000CB010000}"/>
    <hyperlink ref="Q465" r:id="rId461" xr:uid="{00000000-0004-0000-0700-0000CC010000}"/>
    <hyperlink ref="Q466" r:id="rId462" xr:uid="{00000000-0004-0000-0700-0000CD010000}"/>
    <hyperlink ref="Q467" r:id="rId463" xr:uid="{00000000-0004-0000-0700-0000CE010000}"/>
    <hyperlink ref="Q468" r:id="rId464" xr:uid="{00000000-0004-0000-0700-0000CF010000}"/>
    <hyperlink ref="Q469" r:id="rId465" xr:uid="{00000000-0004-0000-0700-0000D0010000}"/>
    <hyperlink ref="Q470" r:id="rId466" xr:uid="{00000000-0004-0000-0700-0000D1010000}"/>
    <hyperlink ref="Q471" r:id="rId467" xr:uid="{00000000-0004-0000-0700-0000D2010000}"/>
    <hyperlink ref="Q472" r:id="rId468" xr:uid="{00000000-0004-0000-0700-0000D3010000}"/>
    <hyperlink ref="Q473" r:id="rId469" xr:uid="{00000000-0004-0000-0700-0000D4010000}"/>
    <hyperlink ref="Q474" r:id="rId470" xr:uid="{00000000-0004-0000-0700-0000D5010000}"/>
    <hyperlink ref="Q475" r:id="rId471" xr:uid="{00000000-0004-0000-0700-0000D6010000}"/>
    <hyperlink ref="Q476" r:id="rId472" xr:uid="{00000000-0004-0000-0700-0000D7010000}"/>
    <hyperlink ref="Q477" r:id="rId473" xr:uid="{00000000-0004-0000-0700-0000D8010000}"/>
    <hyperlink ref="Q478" r:id="rId474" xr:uid="{00000000-0004-0000-0700-0000D9010000}"/>
    <hyperlink ref="Q479" r:id="rId475" xr:uid="{00000000-0004-0000-0700-0000DA010000}"/>
    <hyperlink ref="Q480" r:id="rId476" xr:uid="{00000000-0004-0000-0700-0000DB010000}"/>
    <hyperlink ref="Q481" r:id="rId477" xr:uid="{00000000-0004-0000-0700-0000DC010000}"/>
    <hyperlink ref="Q482" r:id="rId478" xr:uid="{00000000-0004-0000-0700-0000DD010000}"/>
    <hyperlink ref="Q483" r:id="rId479" xr:uid="{00000000-0004-0000-0700-0000DE010000}"/>
    <hyperlink ref="Q484" r:id="rId480" xr:uid="{00000000-0004-0000-0700-0000DF010000}"/>
    <hyperlink ref="Q485" r:id="rId481" xr:uid="{00000000-0004-0000-0700-0000E0010000}"/>
    <hyperlink ref="Q486" r:id="rId482" xr:uid="{00000000-0004-0000-0700-0000E1010000}"/>
    <hyperlink ref="Q487" r:id="rId483" xr:uid="{00000000-0004-0000-0700-0000E2010000}"/>
    <hyperlink ref="Q488" r:id="rId484" xr:uid="{00000000-0004-0000-0700-0000E3010000}"/>
    <hyperlink ref="Q489" r:id="rId485" xr:uid="{00000000-0004-0000-0700-0000E4010000}"/>
    <hyperlink ref="Q490" r:id="rId486" xr:uid="{00000000-0004-0000-0700-0000E5010000}"/>
    <hyperlink ref="Q491" r:id="rId487" xr:uid="{00000000-0004-0000-0700-0000E6010000}"/>
    <hyperlink ref="Q492" r:id="rId488" xr:uid="{00000000-0004-0000-0700-0000E7010000}"/>
    <hyperlink ref="Q493" r:id="rId489" xr:uid="{00000000-0004-0000-0700-0000E8010000}"/>
    <hyperlink ref="Q494" r:id="rId490" xr:uid="{00000000-0004-0000-0700-0000E9010000}"/>
    <hyperlink ref="Q495" r:id="rId491" xr:uid="{00000000-0004-0000-0700-0000EA010000}"/>
    <hyperlink ref="Q496" r:id="rId492" xr:uid="{00000000-0004-0000-0700-0000EB010000}"/>
    <hyperlink ref="Q497" r:id="rId493" xr:uid="{00000000-0004-0000-0700-0000EC010000}"/>
    <hyperlink ref="Q498" r:id="rId494" xr:uid="{00000000-0004-0000-0700-0000ED010000}"/>
    <hyperlink ref="Q499" r:id="rId495" xr:uid="{00000000-0004-0000-0700-0000EE010000}"/>
    <hyperlink ref="Q500" r:id="rId496" xr:uid="{00000000-0004-0000-0700-0000EF010000}"/>
    <hyperlink ref="Q501" r:id="rId497" xr:uid="{00000000-0004-0000-0700-0000F0010000}"/>
    <hyperlink ref="Q502" r:id="rId498" xr:uid="{00000000-0004-0000-0700-0000F1010000}"/>
    <hyperlink ref="Q503" r:id="rId499" xr:uid="{00000000-0004-0000-0700-0000F2010000}"/>
    <hyperlink ref="Q504" r:id="rId500" xr:uid="{00000000-0004-0000-0700-0000F3010000}"/>
    <hyperlink ref="Q505" r:id="rId501" xr:uid="{00000000-0004-0000-0700-0000F4010000}"/>
    <hyperlink ref="Q506" r:id="rId502" xr:uid="{00000000-0004-0000-0700-0000F5010000}"/>
    <hyperlink ref="Q507" r:id="rId503" xr:uid="{00000000-0004-0000-0700-0000F6010000}"/>
    <hyperlink ref="Q508" r:id="rId504" xr:uid="{00000000-0004-0000-0700-0000F7010000}"/>
    <hyperlink ref="Q509" r:id="rId505" xr:uid="{00000000-0004-0000-0700-0000F8010000}"/>
    <hyperlink ref="Q510" r:id="rId506" xr:uid="{00000000-0004-0000-0700-0000F9010000}"/>
    <hyperlink ref="Q511" r:id="rId507" xr:uid="{00000000-0004-0000-0700-0000FA010000}"/>
    <hyperlink ref="Q512" r:id="rId508" xr:uid="{00000000-0004-0000-0700-0000FB010000}"/>
    <hyperlink ref="Q513" r:id="rId509" xr:uid="{00000000-0004-0000-0700-0000FC010000}"/>
    <hyperlink ref="Q514" r:id="rId510" xr:uid="{00000000-0004-0000-0700-0000FD010000}"/>
    <hyperlink ref="Q515" r:id="rId511" xr:uid="{00000000-0004-0000-0700-0000FE010000}"/>
    <hyperlink ref="Q516" r:id="rId512" xr:uid="{00000000-0004-0000-0700-0000FF010000}"/>
    <hyperlink ref="Q517" r:id="rId513" xr:uid="{00000000-0004-0000-0700-000000020000}"/>
    <hyperlink ref="Q518" r:id="rId514" xr:uid="{00000000-0004-0000-0700-000001020000}"/>
    <hyperlink ref="Q519" r:id="rId515" xr:uid="{00000000-0004-0000-0700-000002020000}"/>
    <hyperlink ref="Q520" r:id="rId516" xr:uid="{00000000-0004-0000-0700-000003020000}"/>
    <hyperlink ref="Q521" r:id="rId517" xr:uid="{00000000-0004-0000-0700-000004020000}"/>
    <hyperlink ref="Q522" r:id="rId518" xr:uid="{00000000-0004-0000-0700-000005020000}"/>
    <hyperlink ref="Q523" r:id="rId519" xr:uid="{00000000-0004-0000-0700-000006020000}"/>
    <hyperlink ref="Q524" r:id="rId520" xr:uid="{00000000-0004-0000-0700-000007020000}"/>
    <hyperlink ref="Q525" r:id="rId521" xr:uid="{00000000-0004-0000-0700-000008020000}"/>
    <hyperlink ref="Q526" r:id="rId522" xr:uid="{00000000-0004-0000-0700-000009020000}"/>
    <hyperlink ref="Q527" r:id="rId523" xr:uid="{00000000-0004-0000-0700-00000A020000}"/>
    <hyperlink ref="Q528" r:id="rId524" xr:uid="{00000000-0004-0000-0700-00000B020000}"/>
    <hyperlink ref="Q529" r:id="rId525" xr:uid="{00000000-0004-0000-0700-00000C020000}"/>
    <hyperlink ref="Q530" r:id="rId526" xr:uid="{00000000-0004-0000-0700-00000D020000}"/>
    <hyperlink ref="Q531" r:id="rId527" xr:uid="{00000000-0004-0000-0700-00000E020000}"/>
    <hyperlink ref="Q532" r:id="rId528" xr:uid="{00000000-0004-0000-0700-00000F020000}"/>
    <hyperlink ref="Q533" r:id="rId529" xr:uid="{00000000-0004-0000-0700-000010020000}"/>
    <hyperlink ref="Q534" r:id="rId530" xr:uid="{00000000-0004-0000-0700-000011020000}"/>
    <hyperlink ref="Q535" r:id="rId531" xr:uid="{00000000-0004-0000-0700-000012020000}"/>
    <hyperlink ref="Q536" r:id="rId532" xr:uid="{00000000-0004-0000-0700-000013020000}"/>
    <hyperlink ref="Q537" r:id="rId533" xr:uid="{00000000-0004-0000-0700-000014020000}"/>
    <hyperlink ref="Q538" r:id="rId534" xr:uid="{00000000-0004-0000-0700-000015020000}"/>
    <hyperlink ref="Q539" r:id="rId535" xr:uid="{00000000-0004-0000-0700-000016020000}"/>
    <hyperlink ref="Q540" r:id="rId536" xr:uid="{00000000-0004-0000-0700-000017020000}"/>
    <hyperlink ref="Q541" r:id="rId537" xr:uid="{00000000-0004-0000-0700-000018020000}"/>
    <hyperlink ref="Q542" r:id="rId538" xr:uid="{00000000-0004-0000-0700-000019020000}"/>
    <hyperlink ref="Q543" r:id="rId539" xr:uid="{00000000-0004-0000-0700-00001A020000}"/>
    <hyperlink ref="Q544" r:id="rId540" xr:uid="{00000000-0004-0000-0700-00001B020000}"/>
    <hyperlink ref="Q545" r:id="rId541" xr:uid="{00000000-0004-0000-0700-00001C020000}"/>
    <hyperlink ref="Q546" r:id="rId542" xr:uid="{00000000-0004-0000-0700-00001D020000}"/>
    <hyperlink ref="Q547" r:id="rId543" xr:uid="{00000000-0004-0000-0700-00001E020000}"/>
    <hyperlink ref="Q548" r:id="rId544" xr:uid="{00000000-0004-0000-0700-00001F020000}"/>
    <hyperlink ref="Q549" r:id="rId545" xr:uid="{00000000-0004-0000-0700-000020020000}"/>
    <hyperlink ref="Q550" r:id="rId546" xr:uid="{00000000-0004-0000-0700-000021020000}"/>
    <hyperlink ref="Q551" r:id="rId547" xr:uid="{00000000-0004-0000-0700-000022020000}"/>
    <hyperlink ref="Q552" r:id="rId548" xr:uid="{00000000-0004-0000-0700-000023020000}"/>
    <hyperlink ref="Q553" r:id="rId549" xr:uid="{00000000-0004-0000-0700-000024020000}"/>
    <hyperlink ref="Q554" r:id="rId550" xr:uid="{00000000-0004-0000-0700-000025020000}"/>
    <hyperlink ref="Q555" r:id="rId551" xr:uid="{00000000-0004-0000-0700-000026020000}"/>
    <hyperlink ref="Q556" r:id="rId552" xr:uid="{00000000-0004-0000-0700-000027020000}"/>
    <hyperlink ref="Q557" r:id="rId553" xr:uid="{00000000-0004-0000-0700-000028020000}"/>
    <hyperlink ref="Q558" r:id="rId554" xr:uid="{00000000-0004-0000-0700-000029020000}"/>
    <hyperlink ref="Q559" r:id="rId555" xr:uid="{00000000-0004-0000-0700-00002A020000}"/>
    <hyperlink ref="Q560" r:id="rId556" xr:uid="{00000000-0004-0000-0700-00002B020000}"/>
    <hyperlink ref="Q561" r:id="rId557" xr:uid="{00000000-0004-0000-0700-00002C020000}"/>
    <hyperlink ref="Q562" r:id="rId558" xr:uid="{00000000-0004-0000-0700-00002D020000}"/>
    <hyperlink ref="Q563" r:id="rId559" xr:uid="{00000000-0004-0000-0700-00002E020000}"/>
    <hyperlink ref="Q564" r:id="rId560" xr:uid="{00000000-0004-0000-0700-00002F020000}"/>
    <hyperlink ref="Q565" r:id="rId561" xr:uid="{00000000-0004-0000-0700-000030020000}"/>
    <hyperlink ref="Q566" r:id="rId562" xr:uid="{00000000-0004-0000-0700-000031020000}"/>
    <hyperlink ref="Q567" r:id="rId563" xr:uid="{00000000-0004-0000-0700-000032020000}"/>
    <hyperlink ref="Q568" r:id="rId564" xr:uid="{00000000-0004-0000-0700-000033020000}"/>
    <hyperlink ref="Q569" r:id="rId565" xr:uid="{00000000-0004-0000-0700-000034020000}"/>
    <hyperlink ref="Q570" r:id="rId566" xr:uid="{00000000-0004-0000-0700-000035020000}"/>
    <hyperlink ref="Q571" r:id="rId567" xr:uid="{00000000-0004-0000-0700-000036020000}"/>
    <hyperlink ref="Q572" r:id="rId568" xr:uid="{00000000-0004-0000-0700-000037020000}"/>
    <hyperlink ref="Q573" r:id="rId569" xr:uid="{00000000-0004-0000-0700-000038020000}"/>
    <hyperlink ref="Q574" r:id="rId570" xr:uid="{00000000-0004-0000-0700-000039020000}"/>
    <hyperlink ref="Q575" r:id="rId571" xr:uid="{00000000-0004-0000-0700-00003A020000}"/>
    <hyperlink ref="Q576" r:id="rId572" xr:uid="{00000000-0004-0000-0700-00003B020000}"/>
    <hyperlink ref="Q577" r:id="rId573" xr:uid="{00000000-0004-0000-0700-00003C020000}"/>
    <hyperlink ref="Q578" r:id="rId574" xr:uid="{00000000-0004-0000-0700-00003D020000}"/>
    <hyperlink ref="Q579" r:id="rId575" xr:uid="{00000000-0004-0000-0700-00003E020000}"/>
    <hyperlink ref="Q580" r:id="rId576" xr:uid="{00000000-0004-0000-0700-00003F020000}"/>
    <hyperlink ref="Q581" r:id="rId577" xr:uid="{00000000-0004-0000-0700-000040020000}"/>
    <hyperlink ref="Q582" r:id="rId578" xr:uid="{00000000-0004-0000-0700-000041020000}"/>
    <hyperlink ref="Q583" r:id="rId579" xr:uid="{00000000-0004-0000-0700-000042020000}"/>
    <hyperlink ref="Q584" r:id="rId580" xr:uid="{00000000-0004-0000-0700-000043020000}"/>
    <hyperlink ref="Q585" r:id="rId581" xr:uid="{00000000-0004-0000-0700-000044020000}"/>
    <hyperlink ref="Q586" r:id="rId582" xr:uid="{00000000-0004-0000-0700-000045020000}"/>
    <hyperlink ref="Q587" r:id="rId583" xr:uid="{00000000-0004-0000-0700-000046020000}"/>
    <hyperlink ref="Q588" r:id="rId584" xr:uid="{00000000-0004-0000-0700-000047020000}"/>
    <hyperlink ref="Q589" r:id="rId585" xr:uid="{00000000-0004-0000-0700-000048020000}"/>
    <hyperlink ref="Q590" r:id="rId586" xr:uid="{00000000-0004-0000-0700-000049020000}"/>
    <hyperlink ref="Q591" r:id="rId587" xr:uid="{00000000-0004-0000-0700-00004A020000}"/>
    <hyperlink ref="Q592" r:id="rId588" xr:uid="{00000000-0004-0000-0700-00004B020000}"/>
    <hyperlink ref="Q593" r:id="rId589" xr:uid="{00000000-0004-0000-0700-00004C020000}"/>
    <hyperlink ref="Q594" r:id="rId590" xr:uid="{00000000-0004-0000-0700-00004D020000}"/>
    <hyperlink ref="Q595" r:id="rId591" xr:uid="{00000000-0004-0000-0700-00004E020000}"/>
    <hyperlink ref="Q596" r:id="rId592" xr:uid="{00000000-0004-0000-0700-00004F020000}"/>
    <hyperlink ref="Q597" r:id="rId593" xr:uid="{00000000-0004-0000-0700-000050020000}"/>
    <hyperlink ref="Q598" r:id="rId594" xr:uid="{00000000-0004-0000-0700-000051020000}"/>
    <hyperlink ref="Q599" r:id="rId595" xr:uid="{00000000-0004-0000-0700-000052020000}"/>
    <hyperlink ref="Q600" r:id="rId596" xr:uid="{00000000-0004-0000-0700-000053020000}"/>
    <hyperlink ref="Q601" r:id="rId597" xr:uid="{00000000-0004-0000-0700-000054020000}"/>
    <hyperlink ref="Q602" r:id="rId598" xr:uid="{00000000-0004-0000-0700-000055020000}"/>
    <hyperlink ref="Q603" r:id="rId599" xr:uid="{00000000-0004-0000-0700-000056020000}"/>
    <hyperlink ref="Q604" r:id="rId600" xr:uid="{00000000-0004-0000-0700-000057020000}"/>
    <hyperlink ref="Q605" r:id="rId601" xr:uid="{00000000-0004-0000-0700-000058020000}"/>
    <hyperlink ref="Q606" r:id="rId602" xr:uid="{00000000-0004-0000-0700-000059020000}"/>
    <hyperlink ref="Q607" r:id="rId603" xr:uid="{00000000-0004-0000-0700-00005A020000}"/>
    <hyperlink ref="Q608" r:id="rId604" xr:uid="{00000000-0004-0000-0700-00005B020000}"/>
    <hyperlink ref="Q609" r:id="rId605" xr:uid="{00000000-0004-0000-0700-00005C020000}"/>
    <hyperlink ref="Q610" r:id="rId606" xr:uid="{00000000-0004-0000-0700-00005D020000}"/>
    <hyperlink ref="Q611" r:id="rId607" xr:uid="{00000000-0004-0000-0700-00005E020000}"/>
    <hyperlink ref="Q612" r:id="rId608" xr:uid="{00000000-0004-0000-0700-00005F020000}"/>
    <hyperlink ref="Q613" r:id="rId609" xr:uid="{00000000-0004-0000-0700-000060020000}"/>
    <hyperlink ref="Q614" r:id="rId610" xr:uid="{00000000-0004-0000-0700-000061020000}"/>
    <hyperlink ref="Q615" r:id="rId611" xr:uid="{00000000-0004-0000-0700-000062020000}"/>
    <hyperlink ref="Q616" r:id="rId612" xr:uid="{00000000-0004-0000-0700-000063020000}"/>
    <hyperlink ref="Q617" r:id="rId613" xr:uid="{00000000-0004-0000-0700-000064020000}"/>
    <hyperlink ref="Q618" r:id="rId614" xr:uid="{00000000-0004-0000-0700-000065020000}"/>
    <hyperlink ref="Q619" r:id="rId615" xr:uid="{00000000-0004-0000-0700-000066020000}"/>
    <hyperlink ref="Q620" r:id="rId616" xr:uid="{00000000-0004-0000-0700-000067020000}"/>
    <hyperlink ref="Q621" r:id="rId617" xr:uid="{00000000-0004-0000-0700-000068020000}"/>
    <hyperlink ref="Q622" r:id="rId618" xr:uid="{00000000-0004-0000-0700-000069020000}"/>
    <hyperlink ref="Q623" r:id="rId619" xr:uid="{00000000-0004-0000-0700-00006A020000}"/>
    <hyperlink ref="Q624" r:id="rId620" xr:uid="{00000000-0004-0000-0700-00006B020000}"/>
    <hyperlink ref="Q625" r:id="rId621" xr:uid="{00000000-0004-0000-0700-00006C020000}"/>
    <hyperlink ref="Q626" r:id="rId622" xr:uid="{00000000-0004-0000-0700-00006D020000}"/>
    <hyperlink ref="Q627" r:id="rId623" xr:uid="{00000000-0004-0000-0700-00006E020000}"/>
    <hyperlink ref="Q628" r:id="rId624" xr:uid="{00000000-0004-0000-0700-00006F020000}"/>
    <hyperlink ref="Q629" r:id="rId625" xr:uid="{00000000-0004-0000-0700-000070020000}"/>
    <hyperlink ref="Q630" r:id="rId626" xr:uid="{00000000-0004-0000-0700-000071020000}"/>
    <hyperlink ref="Q631" r:id="rId627" xr:uid="{00000000-0004-0000-0700-000072020000}"/>
    <hyperlink ref="Q632" r:id="rId628" xr:uid="{00000000-0004-0000-0700-000073020000}"/>
    <hyperlink ref="Q633" r:id="rId629" xr:uid="{00000000-0004-0000-0700-000074020000}"/>
    <hyperlink ref="Q634" r:id="rId630" xr:uid="{00000000-0004-0000-0700-000075020000}"/>
    <hyperlink ref="Q635" r:id="rId631" xr:uid="{00000000-0004-0000-0700-000076020000}"/>
    <hyperlink ref="Q636" r:id="rId632" xr:uid="{00000000-0004-0000-0700-000077020000}"/>
    <hyperlink ref="Q637" r:id="rId633" xr:uid="{00000000-0004-0000-0700-000078020000}"/>
    <hyperlink ref="Q638" r:id="rId634" xr:uid="{00000000-0004-0000-0700-000079020000}"/>
    <hyperlink ref="Q639" r:id="rId635" xr:uid="{00000000-0004-0000-0700-00007A020000}"/>
    <hyperlink ref="Q640" r:id="rId636" xr:uid="{00000000-0004-0000-0700-00007B020000}"/>
    <hyperlink ref="Q641" r:id="rId637" xr:uid="{00000000-0004-0000-0700-00007C020000}"/>
    <hyperlink ref="Q642" r:id="rId638" xr:uid="{00000000-0004-0000-0700-00007D020000}"/>
    <hyperlink ref="Q643" r:id="rId639" xr:uid="{00000000-0004-0000-0700-00007E020000}"/>
    <hyperlink ref="Q644" r:id="rId640" xr:uid="{00000000-0004-0000-0700-00007F020000}"/>
    <hyperlink ref="Q645" r:id="rId641" xr:uid="{00000000-0004-0000-0700-000080020000}"/>
    <hyperlink ref="Q646" r:id="rId642" xr:uid="{00000000-0004-0000-0700-000081020000}"/>
    <hyperlink ref="Q647" r:id="rId643" xr:uid="{00000000-0004-0000-0700-000082020000}"/>
    <hyperlink ref="Q648" r:id="rId644" xr:uid="{00000000-0004-0000-0700-000083020000}"/>
    <hyperlink ref="Q649" r:id="rId645" xr:uid="{00000000-0004-0000-0700-000084020000}"/>
    <hyperlink ref="Q650" r:id="rId646" xr:uid="{00000000-0004-0000-0700-000085020000}"/>
    <hyperlink ref="Q651" r:id="rId647" xr:uid="{00000000-0004-0000-0700-000086020000}"/>
    <hyperlink ref="Q652" r:id="rId648" xr:uid="{00000000-0004-0000-0700-000087020000}"/>
    <hyperlink ref="Q653" r:id="rId649" xr:uid="{00000000-0004-0000-0700-000088020000}"/>
    <hyperlink ref="Q654" r:id="rId650" xr:uid="{00000000-0004-0000-0700-000089020000}"/>
    <hyperlink ref="Q655" r:id="rId651" xr:uid="{00000000-0004-0000-0700-00008A020000}"/>
    <hyperlink ref="Q656" r:id="rId652" xr:uid="{00000000-0004-0000-0700-00008B020000}"/>
    <hyperlink ref="Q657" r:id="rId653" xr:uid="{00000000-0004-0000-0700-00008C020000}"/>
    <hyperlink ref="Q658" r:id="rId654" xr:uid="{00000000-0004-0000-0700-00008D020000}"/>
    <hyperlink ref="Q659" r:id="rId655" xr:uid="{00000000-0004-0000-0700-00008E020000}"/>
    <hyperlink ref="Q660" r:id="rId656" xr:uid="{00000000-0004-0000-0700-00008F020000}"/>
    <hyperlink ref="Q661" r:id="rId657" xr:uid="{00000000-0004-0000-0700-000090020000}"/>
    <hyperlink ref="Q662" r:id="rId658" xr:uid="{00000000-0004-0000-0700-000091020000}"/>
  </hyperlinks>
  <printOptions horizontalCentered="1"/>
  <pageMargins left="0.75" right="0.75" top="1" bottom="1" header="0.5" footer="0.5"/>
  <pageSetup fitToHeight="0" orientation="landscape"/>
  <headerFooter>
    <oddFooter>&amp;CCompetitor Scorecard – Ryan Barry – &amp;D&amp;RPage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106</vt:i4>
      </vt:variant>
    </vt:vector>
  </HeadingPairs>
  <TitlesOfParts>
    <vt:vector size="114" baseType="lpstr">
      <vt:lpstr>Cover</vt:lpstr>
      <vt:lpstr>Executive Summary</vt:lpstr>
      <vt:lpstr>Raw Data</vt:lpstr>
      <vt:lpstr>Ratio Calculations</vt:lpstr>
      <vt:lpstr>Scorecard</vt:lpstr>
      <vt:lpstr>Trend</vt:lpstr>
      <vt:lpstr>Methodology &amp; Tools</vt:lpstr>
      <vt:lpstr>Data Lineage</vt:lpstr>
      <vt:lpstr>Costco_COGS</vt:lpstr>
      <vt:lpstr>Costco_CurrentAssets</vt:lpstr>
      <vt:lpstr>Costco_CurrentLiabilities</vt:lpstr>
      <vt:lpstr>Costco_Inventory</vt:lpstr>
      <vt:lpstr>Costco_LIFOReserve</vt:lpstr>
      <vt:lpstr>Costco_MembershipFeeRevenueIncluded_FY2025</vt:lpstr>
      <vt:lpstr>Costco_MembershipFees</vt:lpstr>
      <vt:lpstr>Costco_NetIncome</vt:lpstr>
      <vt:lpstr>Costco_OperatingIncome</vt:lpstr>
      <vt:lpstr>Costco_OperatingLease</vt:lpstr>
      <vt:lpstr>Costco_Revenue</vt:lpstr>
      <vt:lpstr>Costco_TotalAssets</vt:lpstr>
      <vt:lpstr>Costco_TotalDebt</vt:lpstr>
      <vt:lpstr>Costco_TotalEquity</vt:lpstr>
      <vt:lpstr>Costco_TotalRevenue</vt:lpstr>
      <vt:lpstr>CR_Costco</vt:lpstr>
      <vt:lpstr>CR_Kroger</vt:lpstr>
      <vt:lpstr>CR_SamsClub</vt:lpstr>
      <vt:lpstr>CR_Walmart</vt:lpstr>
      <vt:lpstr>CR_WholeFoods</vt:lpstr>
      <vt:lpstr>DE_Costco</vt:lpstr>
      <vt:lpstr>DE_Kroger</vt:lpstr>
      <vt:lpstr>DE_SamsClub</vt:lpstr>
      <vt:lpstr>DE_Walmart</vt:lpstr>
      <vt:lpstr>DE_WholeFoods</vt:lpstr>
      <vt:lpstr>DEL_Costco</vt:lpstr>
      <vt:lpstr>DEL_Kroger</vt:lpstr>
      <vt:lpstr>DEL_SamsClub</vt:lpstr>
      <vt:lpstr>DEL_Walmart</vt:lpstr>
      <vt:lpstr>DEL_WholeFoods</vt:lpstr>
      <vt:lpstr>GM_Costco</vt:lpstr>
      <vt:lpstr>GM_Kroger</vt:lpstr>
      <vt:lpstr>GM_SamsClub</vt:lpstr>
      <vt:lpstr>GM_Walmart</vt:lpstr>
      <vt:lpstr>GM_WholeFoods</vt:lpstr>
      <vt:lpstr>GR_Costco</vt:lpstr>
      <vt:lpstr>GR_Kroger</vt:lpstr>
      <vt:lpstr>GR_SamsClub</vt:lpstr>
      <vt:lpstr>GR_Walmart</vt:lpstr>
      <vt:lpstr>GR_WholeFoods</vt:lpstr>
      <vt:lpstr>Kroger_COGS</vt:lpstr>
      <vt:lpstr>Kroger_CurrentAssets</vt:lpstr>
      <vt:lpstr>Kroger_CurrentLiabilities</vt:lpstr>
      <vt:lpstr>Kroger_LIFOReserve</vt:lpstr>
      <vt:lpstr>Kroger_LifoReserve_FY2016</vt:lpstr>
      <vt:lpstr>Kroger_LifoReserve_FY2025</vt:lpstr>
      <vt:lpstr>Kroger_NetIncome</vt:lpstr>
      <vt:lpstr>Kroger_OperatingIncome</vt:lpstr>
      <vt:lpstr>Kroger_OperatingLease</vt:lpstr>
      <vt:lpstr>Kroger_ProceedsFromIssuanceOf_FY2024</vt:lpstr>
      <vt:lpstr>Kroger_RestructuringAndAssetImpairment_FY2025</vt:lpstr>
      <vt:lpstr>Kroger_Revenue</vt:lpstr>
      <vt:lpstr>Kroger_ShareRepurchases_FY2024</vt:lpstr>
      <vt:lpstr>Kroger_ShareRepurchases_FY2025</vt:lpstr>
      <vt:lpstr>Kroger_TotalAssets</vt:lpstr>
      <vt:lpstr>Kroger_TotalDebt</vt:lpstr>
      <vt:lpstr>Kroger_TotalEquity</vt:lpstr>
      <vt:lpstr>NM_Costco</vt:lpstr>
      <vt:lpstr>NM_Kroger</vt:lpstr>
      <vt:lpstr>NM_SamsClub</vt:lpstr>
      <vt:lpstr>NM_Walmart</vt:lpstr>
      <vt:lpstr>NM_WholeFoods</vt:lpstr>
      <vt:lpstr>OM_Costco</vt:lpstr>
      <vt:lpstr>OM_Kroger</vt:lpstr>
      <vt:lpstr>OM_SamsClub</vt:lpstr>
      <vt:lpstr>OM_Walmart</vt:lpstr>
      <vt:lpstr>OM_WholeFoods</vt:lpstr>
      <vt:lpstr>'Data Lineage'!Print_Titles</vt:lpstr>
      <vt:lpstr>'Ratio Calculations'!Print_Titles</vt:lpstr>
      <vt:lpstr>'Raw Data'!Print_Titles</vt:lpstr>
      <vt:lpstr>RatioYears</vt:lpstr>
      <vt:lpstr>SamsClub_COGS</vt:lpstr>
      <vt:lpstr>SamsClub_CurrentAssets</vt:lpstr>
      <vt:lpstr>SamsClub_CurrentLiabilities</vt:lpstr>
      <vt:lpstr>SamsClub_NetIncome</vt:lpstr>
      <vt:lpstr>SamsClub_OperatingIncome</vt:lpstr>
      <vt:lpstr>SamsClub_Revenue</vt:lpstr>
      <vt:lpstr>SamsClub_TotalAssets</vt:lpstr>
      <vt:lpstr>SamsClub_TotalDebt</vt:lpstr>
      <vt:lpstr>SamsClub_TotalEquity</vt:lpstr>
      <vt:lpstr>ScorecardYear</vt:lpstr>
      <vt:lpstr>Walmart_COGS</vt:lpstr>
      <vt:lpstr>Walmart_CurrentAssets</vt:lpstr>
      <vt:lpstr>Walmart_CurrentLiabilities</vt:lpstr>
      <vt:lpstr>Walmart_Inventory</vt:lpstr>
      <vt:lpstr>Walmart_NetIncome</vt:lpstr>
      <vt:lpstr>Walmart_NoncontrollingInterestInTotal_FY2025</vt:lpstr>
      <vt:lpstr>Walmart_OperatingIncome</vt:lpstr>
      <vt:lpstr>Walmart_OperatingLease</vt:lpstr>
      <vt:lpstr>Walmart_Revenue</vt:lpstr>
      <vt:lpstr>Walmart_TotalAssets</vt:lpstr>
      <vt:lpstr>Walmart_TotalDebt</vt:lpstr>
      <vt:lpstr>Walmart_TotalEquity</vt:lpstr>
      <vt:lpstr>WholeFoods_COGS</vt:lpstr>
      <vt:lpstr>WholeFoods_CurrentAssets</vt:lpstr>
      <vt:lpstr>WholeFoods_CurrentLiabilities</vt:lpstr>
      <vt:lpstr>WholeFoods_Inventory</vt:lpstr>
      <vt:lpstr>WholeFoods_LIFOReserve</vt:lpstr>
      <vt:lpstr>WholeFoods_NetIncome</vt:lpstr>
      <vt:lpstr>WholeFoods_OperatingIncome</vt:lpstr>
      <vt:lpstr>WholeFoods_Revenue</vt:lpstr>
      <vt:lpstr>WholeFoods_SuccessorRevenue</vt:lpstr>
      <vt:lpstr>WholeFoods_TotalAssets</vt:lpstr>
      <vt:lpstr>WholeFoods_TotalDebt</vt:lpstr>
      <vt:lpstr>WholeFoods_TotalEquity</vt:lpstr>
      <vt:lpstr>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Competitor Scorecard: Walmart, Costco, Kroger &amp; Sam's Club</dc:title>
  <dc:subject>Ten-year financial comparison from SEC 10-K filings</dc:subject>
  <dc:creator>Ryan Barry</dc:creator>
  <cp:keywords>SEC EDGAR, XBRL, financial ratios, competitor analysis, ASC 842, ASC 280, LIFO</cp:keywords>
  <dc:description>Built programmatically from SEC EDGAR; all analytical cells are live formulas.</dc:description>
  <cp:lastModifiedBy>r r</cp:lastModifiedBy>
  <dcterms:created xsi:type="dcterms:W3CDTF">2026-09-18T22:44:26Z</dcterms:created>
  <dcterms:modified xsi:type="dcterms:W3CDTF">2026-09-18T22:44:32Z</dcterms:modified>
</cp:coreProperties>
</file>